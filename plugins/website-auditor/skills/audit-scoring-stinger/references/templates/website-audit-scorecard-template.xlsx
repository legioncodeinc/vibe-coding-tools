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corecard" sheetId="2" state="visible" r:id="rId2"/>
    <sheet xmlns:r="http://schemas.openxmlformats.org/officeDocument/2006/relationships" name="Rubric" sheetId="3" state="visible" r:id="rId3"/>
    <sheet xmlns:r="http://schemas.openxmlformats.org/officeDocument/2006/relationships" name="Scorecard" sheetId="4" state="visible" r:id="rId4"/>
    <sheet xmlns:r="http://schemas.openxmlformats.org/officeDocument/2006/relationships" name="Audit Tree" sheetId="5" state="visible" r:id="rId5"/>
    <sheet xmlns:r="http://schemas.openxmlformats.org/officeDocument/2006/relationships" name="Security" sheetId="6" state="visible" r:id="rId6"/>
    <sheet xmlns:r="http://schemas.openxmlformats.org/officeDocument/2006/relationships" name="Revenue Drivers" sheetId="7" state="visible" r:id="rId7"/>
    <sheet xmlns:r="http://schemas.openxmlformats.org/officeDocument/2006/relationships" name="Mission Critical" sheetId="8" state="visible" r:id="rId8"/>
    <sheet xmlns:r="http://schemas.openxmlformats.org/officeDocument/2006/relationships" name="Analytics and Insight" sheetId="9" state="visible" r:id="rId9"/>
    <sheet xmlns:r="http://schemas.openxmlformats.org/officeDocument/2006/relationships" name="Technical Deployment" sheetId="10" state="visible" r:id="rId10"/>
    <sheet xmlns:r="http://schemas.openxmlformats.org/officeDocument/2006/relationships" name="Foundational Completeness" sheetId="11" state="visible" r:id="rId11"/>
    <sheet xmlns:r="http://schemas.openxmlformats.org/officeDocument/2006/relationships" name="Search Presence" sheetId="12" state="visible" r:id="rId12"/>
    <sheet xmlns:r="http://schemas.openxmlformats.org/officeDocument/2006/relationships" name="Content Score" sheetId="13" state="visible" r:id="rId13"/>
    <sheet xmlns:r="http://schemas.openxmlformats.org/officeDocument/2006/relationships" name="Findings Register" sheetId="14" state="visible" r:id="rId14"/>
    <sheet xmlns:r="http://schemas.openxmlformats.org/officeDocument/2006/relationships" name="Evidence Index" sheetId="15" state="visible" r:id="rId15"/>
    <sheet xmlns:r="http://schemas.openxmlformats.org/officeDocument/2006/relationships" name="Config" sheetId="16" state="visible" r:id="rId16"/>
  </sheets>
  <definedNames>
    <definedName name="Wt_security">'Rubric'!$C$17</definedName>
    <definedName name="Wt_revenue">'Rubric'!$C$18</definedName>
    <definedName name="Wt_mission">'Rubric'!$C$19</definedName>
    <definedName name="Wt_analytics">'Rubric'!$C$20</definedName>
    <definedName name="Wt_technical">'Rubric'!$C$21</definedName>
    <definedName name="Wt_foundational">'Rubric'!$C$22</definedName>
    <definedName name="Wt_search">'Rubric'!$C$23</definedName>
    <definedName name="Wt_content">'Rubric'!$C$24</definedName>
    <definedName name="CategoryWeights">'Rubric'!$C$17:$C$24</definedName>
    <definedName name="SubWt_security">'Rubric'!$C$30:$C$36</definedName>
    <definedName name="SubWt_revenue">'Rubric'!$C$40:$C$42</definedName>
    <definedName name="SubWt_mission">'Rubric'!$C$46:$C$48</definedName>
    <definedName name="SubWt_analytics">'Rubric'!$C$52:$C$54</definedName>
    <definedName name="SubWt_technical">'Rubric'!$C$58:$C$60</definedName>
    <definedName name="SubWt_foundational">'Rubric'!$C$64:$C$66</definedName>
    <definedName name="SubWt_search">'Rubric'!$C$70:$C$72</definedName>
    <definedName name="SubWt_content">'Rubric'!$C$76:$C$78</definedName>
    <definedName name="GradeTable">'Rubric'!$A$83:$B$92</definedName>
    <definedName name="SecurityOverrideEnabled">'Rubric'!$B$96</definedName>
    <definedName name="SecurityOverrideCapPct">'Rubric'!$B$97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6B7280"/>
      <sz val="11"/>
    </font>
    <font>
      <name val="Calibri"/>
      <b val="1"/>
      <sz val="10"/>
    </font>
    <font>
      <name val="Calibri"/>
      <sz val="10"/>
    </font>
    <font>
      <name val="Calibri"/>
      <i val="1"/>
      <color rgb="006B7280"/>
      <sz val="9"/>
    </font>
    <font>
      <name val="Calibri"/>
      <b val="1"/>
      <color rgb="0014213D"/>
      <sz val="13"/>
    </font>
    <font>
      <name val="Calibri"/>
      <b val="1"/>
      <color rgb="0014213D"/>
      <sz val="10"/>
    </font>
    <font>
      <name val="Calibri"/>
      <b val="1"/>
      <color rgb="0014213D"/>
      <sz val="36"/>
    </font>
  </fonts>
  <fills count="5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DCE4F0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7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4" fontId="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3" fillId="0" borderId="1" pivotButton="0" quotePrefix="0" xfId="0"/>
    <xf numFmtId="0" fontId="2" fillId="0" borderId="0" pivotButton="0" quotePrefix="0" xfId="0"/>
    <xf numFmtId="0" fontId="3" fillId="4" borderId="0" pivotButton="0" quotePrefix="0" xfId="0"/>
    <xf numFmtId="9" fontId="0" fillId="0" borderId="1" pivotButton="0" quotePrefix="0" xfId="0"/>
    <xf numFmtId="10" fontId="0" fillId="0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164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CA5A5"/>
        </patternFill>
      </fill>
    </dxf>
    <dxf>
      <fill>
        <patternFill patternType="solid">
          <fgColor rgb="00FDE68A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gioncodeinc.co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legioncodeinc.com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legioncodeinc.co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legioncodeinc.com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legioncodeinc.com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legioncodeinc.com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legioncodeinc.com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legioncodeinc.com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legioncodeinc.com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legioncodeinc.com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legioncodeinc.com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legioncodeinc.com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legioncodeinc.com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legioncodeinc.com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legioncodeinc.com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legioncodeinc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E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0" customWidth="1" min="3" max="3"/>
    <col width="28" customWidth="1" min="4" max="4"/>
    <col width="4" customWidth="1" min="5" max="5"/>
  </cols>
  <sheetData>
    <row r="3" ht="28" customHeight="1">
      <c r="A3" s="1" t="inlineStr">
        <is>
          <t>Website Auditor - Audit Scorecard</t>
        </is>
      </c>
    </row>
    <row r="4">
      <c r="A4" s="2" t="inlineStr">
        <is>
          <t>Prepared by Legion Code Inc.</t>
        </is>
      </c>
    </row>
    <row r="6">
      <c r="B6" s="3" t="inlineStr">
        <is>
          <t>Auditor</t>
        </is>
      </c>
      <c r="C6" s="4" t="inlineStr">
        <is>
          <t>{{auditor_name}}</t>
        </is>
      </c>
    </row>
    <row r="7">
      <c r="B7" s="3" t="inlineStr">
        <is>
          <t>Audited party contact</t>
        </is>
      </c>
      <c r="C7" s="4" t="inlineStr">
        <is>
          <t>{{contact_name}}</t>
        </is>
      </c>
    </row>
    <row r="8">
      <c r="B8" s="3" t="inlineStr">
        <is>
          <t>Audited party business</t>
        </is>
      </c>
      <c r="C8" s="4" t="inlineStr">
        <is>
          <t>{{business_name}}</t>
        </is>
      </c>
    </row>
    <row r="9">
      <c r="B9" s="3" t="inlineStr">
        <is>
          <t>Domain</t>
        </is>
      </c>
      <c r="C9" s="4" t="inlineStr">
        <is>
          <t>{{website_url}}</t>
        </is>
      </c>
    </row>
    <row r="10">
      <c r="B10" s="3" t="inlineStr">
        <is>
          <t>Engagement reference</t>
        </is>
      </c>
      <c r="C10" s="4" t="inlineStr">
        <is>
          <t>{{engagement_ref}}</t>
        </is>
      </c>
    </row>
    <row r="11">
      <c r="B11" s="3" t="inlineStr">
        <is>
          <t>Report date</t>
        </is>
      </c>
      <c r="C11" s="4" t="inlineStr">
        <is>
          <t>{{report_date}}</t>
        </is>
      </c>
    </row>
    <row r="12">
      <c r="B12" s="3" t="inlineStr">
        <is>
          <t>Template generated</t>
        </is>
      </c>
      <c r="C12" s="4" t="inlineStr">
        <is>
          <t>2026-08-18 21:18 UTC</t>
        </is>
      </c>
    </row>
    <row r="13">
      <c r="B13" s="3" t="inlineStr">
        <is>
          <t>Template generator</t>
        </is>
      </c>
      <c r="C13" s="4" t="inlineStr">
        <is>
          <t>generate-scorecard-xlsx.py (audit-scoring-stinger)</t>
        </is>
      </c>
    </row>
    <row r="16">
      <c r="B16" s="5" t="inlineStr">
        <is>
          <t>{{...}} placeholders are hydrated by audit-intake-worker-bee's four recorded answers and by audit-scoring-worker-bee at rollup time. This Cover sheet carries no formulas; it is populated by direct cell write, per the template-injection pattern in references/research/distilled-audit-scoring.md section 3.</t>
        </is>
      </c>
    </row>
    <row r="17"/>
    <row r="18"/>
    <row r="19"/>
    <row r="22" ht="18" customHeight="1">
      <c r="A22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4">
    <mergeCell ref="A22:E22"/>
    <mergeCell ref="A4:E4"/>
    <mergeCell ref="B16:D19"/>
    <mergeCell ref="A3:E3"/>
  </mergeCells>
  <hyperlinks>
    <hyperlink xmlns:r="http://schemas.openxmlformats.org/officeDocument/2006/relationships" ref="A2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8" customWidth="1" min="4" max="4"/>
    <col width="40" customWidth="1" min="5" max="5"/>
  </cols>
  <sheetData>
    <row r="1" ht="28" customHeight="1">
      <c r="A1" s="1" t="inlineStr">
        <is>
          <t>Executive Scorecard</t>
        </is>
      </c>
    </row>
    <row r="2">
      <c r="A2" s="2" t="inlineStr">
        <is>
          <t>Final grade, per-category rollups, and the critical-security-override banner.</t>
        </is>
      </c>
    </row>
    <row r="4">
      <c r="A4" s="7" t="inlineStr">
        <is>
          <t>Category</t>
        </is>
      </c>
      <c r="B4" s="7" t="inlineStr">
        <is>
          <t>Weight</t>
        </is>
      </c>
      <c r="C4" s="7" t="inlineStr">
        <is>
          <t>Rollup %</t>
        </is>
      </c>
      <c r="D4" s="7" t="inlineStr">
        <is>
          <t>Contribution</t>
        </is>
      </c>
    </row>
    <row r="5">
      <c r="A5" s="8" t="inlineStr">
        <is>
          <t>Security</t>
        </is>
      </c>
      <c r="B5" s="8">
        <f>Wt_security</f>
        <v/>
      </c>
      <c r="C5" s="9">
        <f>Scorecard!L55</f>
        <v/>
      </c>
      <c r="D5" s="10">
        <f>B5*C5</f>
        <v/>
      </c>
    </row>
    <row r="6">
      <c r="A6" s="8" t="inlineStr">
        <is>
          <t>Revenue Drivers</t>
        </is>
      </c>
      <c r="B6" s="8">
        <f>Wt_revenue</f>
        <v/>
      </c>
      <c r="C6" s="9">
        <f>Scorecard!L79</f>
        <v/>
      </c>
      <c r="D6" s="10">
        <f>B6*C6</f>
        <v/>
      </c>
    </row>
    <row r="7">
      <c r="A7" s="8" t="inlineStr">
        <is>
          <t>Mission Critical</t>
        </is>
      </c>
      <c r="B7" s="8">
        <f>Wt_mission</f>
        <v/>
      </c>
      <c r="C7" s="9">
        <f>Scorecard!L103</f>
        <v/>
      </c>
      <c r="D7" s="10">
        <f>B7*C7</f>
        <v/>
      </c>
    </row>
    <row r="8">
      <c r="A8" s="8" t="inlineStr">
        <is>
          <t>Analytics and Insight</t>
        </is>
      </c>
      <c r="B8" s="8">
        <f>Wt_analytics</f>
        <v/>
      </c>
      <c r="C8" s="9">
        <f>Scorecard!L127</f>
        <v/>
      </c>
      <c r="D8" s="10">
        <f>B8*C8</f>
        <v/>
      </c>
    </row>
    <row r="9">
      <c r="A9" s="8" t="inlineStr">
        <is>
          <t>Technical Deployment</t>
        </is>
      </c>
      <c r="B9" s="8">
        <f>Wt_technical</f>
        <v/>
      </c>
      <c r="C9" s="9">
        <f>Scorecard!L151</f>
        <v/>
      </c>
      <c r="D9" s="10">
        <f>B9*C9</f>
        <v/>
      </c>
    </row>
    <row r="10">
      <c r="A10" s="8" t="inlineStr">
        <is>
          <t>Foundational Completeness</t>
        </is>
      </c>
      <c r="B10" s="8">
        <f>Wt_foundational</f>
        <v/>
      </c>
      <c r="C10" s="9">
        <f>Scorecard!L175</f>
        <v/>
      </c>
      <c r="D10" s="10">
        <f>B10*C10</f>
        <v/>
      </c>
    </row>
    <row r="11">
      <c r="A11" s="8" t="inlineStr">
        <is>
          <t>Search Presence</t>
        </is>
      </c>
      <c r="B11" s="8">
        <f>Wt_search</f>
        <v/>
      </c>
      <c r="C11" s="9">
        <f>Scorecard!L199</f>
        <v/>
      </c>
      <c r="D11" s="10">
        <f>B11*C11</f>
        <v/>
      </c>
    </row>
    <row r="12">
      <c r="A12" s="8" t="inlineStr">
        <is>
          <t>Content Score</t>
        </is>
      </c>
      <c r="B12" s="8">
        <f>Wt_content</f>
        <v/>
      </c>
      <c r="C12" s="9">
        <f>Scorecard!L223</f>
        <v/>
      </c>
      <c r="D12" s="10">
        <f>B12*C12</f>
        <v/>
      </c>
    </row>
    <row r="14">
      <c r="A14" s="3" t="inlineStr">
        <is>
          <t>FINAL SCORE (raw, before override)</t>
        </is>
      </c>
      <c r="C14" s="11">
        <f>SUMPRODUCT(C5:C12,CategoryWeights)/SUM(CategoryWeights)</f>
        <v/>
      </c>
    </row>
    <row r="16">
      <c r="A16" s="3" t="inlineStr">
        <is>
          <t>Critical security override active?</t>
        </is>
      </c>
      <c r="C16">
        <f>IF(AND(SecurityOverrideEnabled,COUNTIFS(Scorecard!$E$5:$E$55,1)&gt;0),TRUE,FALSE)</f>
        <v/>
      </c>
    </row>
    <row r="17">
      <c r="A17" s="4" t="inlineStr">
        <is>
          <t>Triggering finding (leaf ID)</t>
        </is>
      </c>
      <c r="C17">
        <f>IFERROR(INDEX(Scorecard!$C$5:$C$55,MATCH(1,Scorecard!$M$5:$M$55,0)),"")</f>
        <v/>
      </c>
    </row>
    <row r="18">
      <c r="A18" s="4" t="inlineStr">
        <is>
          <t>Triggering finding (description)</t>
        </is>
      </c>
      <c r="C18">
        <f>IFERROR(INDEX(Scorecard!$D$5:$D$55,MATCH(1,Scorecard!$M$5:$M$55,0)),"")</f>
        <v/>
      </c>
    </row>
    <row r="20">
      <c r="A20" s="3" t="inlineStr">
        <is>
          <t>Effective % (capped if override active)</t>
        </is>
      </c>
      <c r="C20" s="11">
        <f>IF(C16,MIN(C14,SecurityOverrideCapPct),C14)</f>
        <v/>
      </c>
    </row>
    <row r="22" ht="42" customHeight="1">
      <c r="A22" s="12" t="inlineStr">
        <is>
          <t>FINAL LETTER GRADE</t>
        </is>
      </c>
      <c r="C22" s="13">
        <f>VLOOKUP(C20,GradeTable,2,TRUE)</f>
        <v/>
      </c>
    </row>
    <row r="24">
      <c r="A24" s="14">
        <f>IF(C16,"CRITICAL SECURITY OVERRIDE ACTIVE - final grade capped at "&amp;VLOOKUP(SecurityOverrideCapPct,GradeTable,2,TRUE)&amp;". Triggering finding: "&amp;C17&amp;" - "&amp;C18,"No critical security override active.")</f>
        <v/>
      </c>
    </row>
    <row r="25"/>
    <row r="26"/>
    <row r="28" ht="18" customHeight="1">
      <c r="A28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4">
    <mergeCell ref="A2:E2"/>
    <mergeCell ref="A28:E28"/>
    <mergeCell ref="A1:E1"/>
    <mergeCell ref="A24:E26"/>
  </mergeCells>
  <conditionalFormatting sqref="C16">
    <cfRule type="expression" priority="1" dxfId="0">
      <formula>C16=TRUE</formula>
    </cfRule>
  </conditionalFormatting>
  <conditionalFormatting sqref="A24:E26">
    <cfRule type="expression" priority="2" dxfId="0">
      <formula>C16=TRUE</formula>
    </cfRule>
  </conditionalFormatting>
  <conditionalFormatting sqref="C22">
    <cfRule type="expression" priority="3" dxfId="0">
      <formula>OR(C22="F",C22="D")</formula>
    </cfRule>
    <cfRule type="expression" priority="4" dxfId="1">
      <formula>LEFT(C22,1)="C"</formula>
    </cfRule>
  </conditionalFormatting>
  <hyperlinks>
    <hyperlink xmlns:r="http://schemas.openxmlformats.org/officeDocument/2006/relationships" ref="A28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60" customWidth="1" min="4" max="4"/>
    <col width="14" customWidth="1" min="5" max="5"/>
    <col width="30" customWidth="1" min="6" max="6"/>
  </cols>
  <sheetData>
    <row r="1" ht="28" customHeight="1">
      <c r="A1" s="1" t="inlineStr">
        <is>
          <t>Rubric - Scoring Configuration</t>
        </is>
      </c>
    </row>
    <row r="2">
      <c r="A2" s="2" t="inlineStr">
        <is>
          <t>Every weight used by every formula in this workbook lives here as a named range. Retune here; never edit a formula.</t>
        </is>
      </c>
    </row>
    <row r="4">
      <c r="A4" s="12" t="inlineStr">
        <is>
          <t>0-6 Leaf Scale</t>
        </is>
      </c>
    </row>
    <row r="5">
      <c r="A5" s="7" t="inlineStr">
        <is>
          <t>Value</t>
        </is>
      </c>
      <c r="B5" s="7" t="inlineStr">
        <is>
          <t>Grade</t>
        </is>
      </c>
      <c r="C5" s="7" t="inlineStr">
        <is>
          <t>Band</t>
        </is>
      </c>
      <c r="D5" s="7" t="inlineStr">
        <is>
          <t>Definition</t>
        </is>
      </c>
    </row>
    <row r="6">
      <c r="A6" s="8" t="n">
        <v>0</v>
      </c>
      <c r="B6" s="8" t="inlineStr">
        <is>
          <t>N/A</t>
        </is>
      </c>
      <c r="C6" s="8" t="inlineStr">
        <is>
          <t>no-op</t>
        </is>
      </c>
      <c r="D6" s="15" t="inlineStr">
        <is>
          <t>Audit point not relevant to this site type. Excluded from both numerator and denominator. Never counts as a failure.</t>
        </is>
      </c>
    </row>
    <row r="7">
      <c r="A7" s="8" t="n">
        <v>1</v>
      </c>
      <c r="B7" s="8" t="inlineStr">
        <is>
          <t>F</t>
        </is>
      </c>
      <c r="C7" s="8" t="inlineStr">
        <is>
          <t>Critical</t>
        </is>
      </c>
      <c r="D7" s="15" t="inlineStr">
        <is>
          <t>Absent entirely, or present and critically failing. Blocks revenue, exposes risk, or breaks the function it exists to serve.</t>
        </is>
      </c>
    </row>
    <row r="8">
      <c r="A8" s="8" t="n">
        <v>2</v>
      </c>
      <c r="B8" s="8" t="inlineStr">
        <is>
          <t>D</t>
        </is>
      </c>
      <c r="C8" s="8" t="inlineStr">
        <is>
          <t>High</t>
        </is>
      </c>
      <c r="D8" s="15" t="inlineStr">
        <is>
          <t>Present but materially broken. Works in some cases and fails in common ones.</t>
        </is>
      </c>
    </row>
    <row r="9">
      <c r="A9" s="8" t="n">
        <v>3</v>
      </c>
      <c r="B9" s="8" t="inlineStr">
        <is>
          <t>C</t>
        </is>
      </c>
      <c r="C9" s="8" t="inlineStr">
        <is>
          <t>Medium</t>
        </is>
      </c>
      <c r="D9" s="15" t="inlineStr">
        <is>
          <t>Present and meets baseline. Low-severity findings only. Does the job without doing it well.</t>
        </is>
      </c>
    </row>
    <row r="10">
      <c r="A10" s="8" t="n">
        <v>4</v>
      </c>
      <c r="B10" s="8" t="inlineStr">
        <is>
          <t>B minus</t>
        </is>
      </c>
      <c r="C10" s="8" t="inlineStr">
        <is>
          <t>Low</t>
        </is>
      </c>
      <c r="D10" s="15" t="inlineStr">
        <is>
          <t>Solid implementation. Minor findings a specialist would notice and a customer would not.</t>
        </is>
      </c>
    </row>
    <row r="11">
      <c r="A11" s="8" t="n">
        <v>5</v>
      </c>
      <c r="B11" s="8" t="inlineStr">
        <is>
          <t>B</t>
        </is>
      </c>
      <c r="C11" s="8" t="inlineStr">
        <is>
          <t>Cosmetic</t>
        </is>
      </c>
      <c r="D11" s="15" t="inlineStr">
        <is>
          <t>Strong. Only cosmetic or preference-level findings remain.</t>
        </is>
      </c>
    </row>
    <row r="12">
      <c r="A12" s="8" t="n">
        <v>6</v>
      </c>
      <c r="B12" s="8" t="inlineStr">
        <is>
          <t>A</t>
        </is>
      </c>
      <c r="C12" s="8" t="inlineStr">
        <is>
          <t>None</t>
        </is>
      </c>
      <c r="D12" s="15" t="inlineStr">
        <is>
          <t>Complete. Zero findings low through critical. Meets or exceeds the current published standard for this checkpoint.</t>
        </is>
      </c>
    </row>
    <row r="15">
      <c r="A15" s="12" t="inlineStr">
        <is>
          <t>Category Weights (points, sums to 100)</t>
        </is>
      </c>
    </row>
    <row r="16">
      <c r="A16" s="7" t="inlineStr">
        <is>
          <t>Rank</t>
        </is>
      </c>
      <c r="B16" s="7" t="inlineStr">
        <is>
          <t>Category</t>
        </is>
      </c>
      <c r="C16" s="7" t="inlineStr">
        <is>
          <t>Weight</t>
        </is>
      </c>
      <c r="D16" s="7" t="inlineStr">
        <is>
          <t>Named range</t>
        </is>
      </c>
      <c r="E16" s="7" t="inlineStr">
        <is>
          <t>Check</t>
        </is>
      </c>
    </row>
    <row r="17">
      <c r="A17" s="8" t="n">
        <v>1</v>
      </c>
      <c r="B17" s="8" t="inlineStr">
        <is>
          <t>Security</t>
        </is>
      </c>
      <c r="C17" s="16" t="n">
        <v>20</v>
      </c>
      <c r="D17" s="17" t="inlineStr">
        <is>
          <t>Wt_security</t>
        </is>
      </c>
    </row>
    <row r="18">
      <c r="A18" s="8" t="n">
        <v>2</v>
      </c>
      <c r="B18" s="8" t="inlineStr">
        <is>
          <t>Revenue Drivers</t>
        </is>
      </c>
      <c r="C18" s="16" t="n">
        <v>18</v>
      </c>
      <c r="D18" s="17" t="inlineStr">
        <is>
          <t>Wt_revenue</t>
        </is>
      </c>
    </row>
    <row r="19">
      <c r="A19" s="8" t="n">
        <v>3</v>
      </c>
      <c r="B19" s="8" t="inlineStr">
        <is>
          <t>Mission Critical</t>
        </is>
      </c>
      <c r="C19" s="16" t="n">
        <v>14</v>
      </c>
      <c r="D19" s="17" t="inlineStr">
        <is>
          <t>Wt_mission</t>
        </is>
      </c>
    </row>
    <row r="20">
      <c r="A20" s="8" t="n">
        <v>4</v>
      </c>
      <c r="B20" s="8" t="inlineStr">
        <is>
          <t>Analytics and Insight</t>
        </is>
      </c>
      <c r="C20" s="16" t="n">
        <v>12</v>
      </c>
      <c r="D20" s="17" t="inlineStr">
        <is>
          <t>Wt_analytics</t>
        </is>
      </c>
    </row>
    <row r="21">
      <c r="A21" s="8" t="n">
        <v>5</v>
      </c>
      <c r="B21" s="8" t="inlineStr">
        <is>
          <t>Technical Deployment</t>
        </is>
      </c>
      <c r="C21" s="16" t="n">
        <v>11</v>
      </c>
      <c r="D21" s="17" t="inlineStr">
        <is>
          <t>Wt_technical</t>
        </is>
      </c>
    </row>
    <row r="22">
      <c r="A22" s="8" t="n">
        <v>6</v>
      </c>
      <c r="B22" s="8" t="inlineStr">
        <is>
          <t>Foundational Completeness</t>
        </is>
      </c>
      <c r="C22" s="16" t="n">
        <v>10</v>
      </c>
      <c r="D22" s="17" t="inlineStr">
        <is>
          <t>Wt_foundational</t>
        </is>
      </c>
    </row>
    <row r="23">
      <c r="A23" s="8" t="n">
        <v>7</v>
      </c>
      <c r="B23" s="8" t="inlineStr">
        <is>
          <t>Search Presence</t>
        </is>
      </c>
      <c r="C23" s="16" t="n">
        <v>9</v>
      </c>
      <c r="D23" s="17" t="inlineStr">
        <is>
          <t>Wt_search</t>
        </is>
      </c>
    </row>
    <row r="24">
      <c r="A24" s="8" t="n">
        <v>8</v>
      </c>
      <c r="B24" s="8" t="inlineStr">
        <is>
          <t>Content Score</t>
        </is>
      </c>
      <c r="C24" s="16" t="n">
        <v>6</v>
      </c>
      <c r="D24" s="17" t="inlineStr">
        <is>
          <t>Wt_content</t>
        </is>
      </c>
    </row>
    <row r="25">
      <c r="B25" s="17" t="inlineStr">
        <is>
          <t>Check: should equal 100</t>
        </is>
      </c>
      <c r="C25" s="3">
        <f>SUM(C17:C24)</f>
        <v/>
      </c>
    </row>
    <row r="28">
      <c r="A28" s="12" t="inlineStr">
        <is>
          <t>Sub-audit Weights (per category; self-normalizing, do not need to sum to the category weight)</t>
        </is>
      </c>
    </row>
    <row r="29">
      <c r="A29" s="18" t="inlineStr">
        <is>
          <t>Security</t>
        </is>
      </c>
    </row>
    <row r="30">
      <c r="B30" s="8" t="inlineStr">
        <is>
          <t>Headers</t>
        </is>
      </c>
      <c r="C30" s="8" t="n">
        <v>2.8571</v>
      </c>
    </row>
    <row r="31">
      <c r="B31" s="8" t="inlineStr">
        <is>
          <t>TLS</t>
        </is>
      </c>
      <c r="C31" s="8" t="n">
        <v>2.8571</v>
      </c>
    </row>
    <row r="32">
      <c r="B32" s="8" t="inlineStr">
        <is>
          <t>Cookies</t>
        </is>
      </c>
      <c r="C32" s="8" t="n">
        <v>2.8571</v>
      </c>
    </row>
    <row r="33">
      <c r="B33" s="8" t="inlineStr">
        <is>
          <t>Content-Security-Policy</t>
        </is>
      </c>
      <c r="C33" s="8" t="n">
        <v>2.8571</v>
      </c>
    </row>
    <row r="34">
      <c r="B34" s="8" t="inlineStr">
        <is>
          <t>Platform Exposure</t>
        </is>
      </c>
      <c r="C34" s="8" t="n">
        <v>2.8571</v>
      </c>
    </row>
    <row r="35">
      <c r="B35" s="8" t="inlineStr">
        <is>
          <t>Client-Side Injection</t>
        </is>
      </c>
      <c r="C35" s="8" t="n">
        <v>2.8571</v>
      </c>
    </row>
    <row r="36">
      <c r="B36" s="8" t="inlineStr">
        <is>
          <t>Payment-Path Integrity</t>
        </is>
      </c>
      <c r="C36" s="8" t="n">
        <v>2.8571</v>
      </c>
    </row>
    <row r="37">
      <c r="B37" s="17" t="inlineStr">
        <is>
          <t>Named range: SubWt_security</t>
        </is>
      </c>
    </row>
    <row r="39">
      <c r="A39" s="18" t="inlineStr">
        <is>
          <t>Revenue Drivers</t>
        </is>
      </c>
    </row>
    <row r="40">
      <c r="B40" s="8" t="inlineStr">
        <is>
          <t>Visual UX/UI</t>
        </is>
      </c>
      <c r="C40" s="8" t="n">
        <v>7</v>
      </c>
    </row>
    <row r="41">
      <c r="B41" s="8" t="inlineStr">
        <is>
          <t>Navigation &amp; User Journey</t>
        </is>
      </c>
      <c r="C41" s="8" t="n">
        <v>6</v>
      </c>
    </row>
    <row r="42">
      <c r="B42" s="8" t="inlineStr">
        <is>
          <t>On-Page Copy</t>
        </is>
      </c>
      <c r="C42" s="8" t="n">
        <v>5</v>
      </c>
    </row>
    <row r="43">
      <c r="B43" s="17" t="inlineStr">
        <is>
          <t>Named range: SubWt_revenue</t>
        </is>
      </c>
    </row>
    <row r="45">
      <c r="A45" s="18" t="inlineStr">
        <is>
          <t>Mission Critical</t>
        </is>
      </c>
    </row>
    <row r="46">
      <c r="B46" s="8" t="inlineStr">
        <is>
          <t>Primary Conversion Path Integrity</t>
        </is>
      </c>
      <c r="C46" s="8" t="n">
        <v>4.6667</v>
      </c>
    </row>
    <row r="47">
      <c r="B47" s="8" t="inlineStr">
        <is>
          <t>Core Function Reliability</t>
        </is>
      </c>
      <c r="C47" s="8" t="n">
        <v>4.6667</v>
      </c>
    </row>
    <row r="48">
      <c r="B48" s="8" t="inlineStr">
        <is>
          <t>Trust &amp; Credibility Signals</t>
        </is>
      </c>
      <c r="C48" s="8" t="n">
        <v>4.6667</v>
      </c>
    </row>
    <row r="49">
      <c r="B49" s="17" t="inlineStr">
        <is>
          <t>Named range: SubWt_mission</t>
        </is>
      </c>
    </row>
    <row r="51">
      <c r="A51" s="18" t="inlineStr">
        <is>
          <t>Analytics and Insight</t>
        </is>
      </c>
    </row>
    <row r="52">
      <c r="B52" s="8" t="inlineStr">
        <is>
          <t>Foundational Analytics</t>
        </is>
      </c>
      <c r="C52" s="8" t="n">
        <v>5</v>
      </c>
    </row>
    <row r="53">
      <c r="B53" s="8" t="inlineStr">
        <is>
          <t>Industry-Specific Analytics</t>
        </is>
      </c>
      <c r="C53" s="8" t="n">
        <v>4</v>
      </c>
    </row>
    <row r="54">
      <c r="B54" s="8" t="inlineStr">
        <is>
          <t>De-Anonymization (where lawful)</t>
        </is>
      </c>
      <c r="C54" s="8" t="n">
        <v>3</v>
      </c>
    </row>
    <row r="55">
      <c r="B55" s="17" t="inlineStr">
        <is>
          <t>Named range: SubWt_analytics</t>
        </is>
      </c>
    </row>
    <row r="57">
      <c r="A57" s="18" t="inlineStr">
        <is>
          <t>Technical Deployment</t>
        </is>
      </c>
    </row>
    <row r="58">
      <c r="B58" s="8" t="inlineStr">
        <is>
          <t>CDN</t>
        </is>
      </c>
      <c r="C58" s="8" t="n">
        <v>3</v>
      </c>
    </row>
    <row r="59">
      <c r="B59" s="8" t="inlineStr">
        <is>
          <t>Caching Strategy</t>
        </is>
      </c>
      <c r="C59" s="8" t="n">
        <v>4</v>
      </c>
    </row>
    <row r="60">
      <c r="B60" s="8" t="inlineStr">
        <is>
          <t>Core Web Vitals</t>
        </is>
      </c>
      <c r="C60" s="8" t="n">
        <v>4</v>
      </c>
    </row>
    <row r="61">
      <c r="B61" s="17" t="inlineStr">
        <is>
          <t>Named range: SubWt_technical</t>
        </is>
      </c>
    </row>
    <row r="63">
      <c r="A63" s="18" t="inlineStr">
        <is>
          <t>Foundational Completeness</t>
        </is>
      </c>
    </row>
    <row r="64">
      <c r="B64" s="8" t="inlineStr">
        <is>
          <t>Core Pages &amp; Contact Info</t>
        </is>
      </c>
      <c r="C64" s="8" t="n">
        <v>3.3333</v>
      </c>
    </row>
    <row r="65">
      <c r="B65" s="8" t="inlineStr">
        <is>
          <t>Legal &amp; Policy Presence</t>
        </is>
      </c>
      <c r="C65" s="8" t="n">
        <v>3.3333</v>
      </c>
    </row>
    <row r="66">
      <c r="B66" s="8" t="inlineStr">
        <is>
          <t>Basic Technical Hygiene</t>
        </is>
      </c>
      <c r="C66" s="8" t="n">
        <v>3.3333</v>
      </c>
    </row>
    <row r="67">
      <c r="B67" s="17" t="inlineStr">
        <is>
          <t>Named range: SubWt_foundational</t>
        </is>
      </c>
    </row>
    <row r="69">
      <c r="A69" s="18" t="inlineStr">
        <is>
          <t>Search Presence</t>
        </is>
      </c>
    </row>
    <row r="70">
      <c r="B70" s="8" t="inlineStr">
        <is>
          <t>Technical SEO</t>
        </is>
      </c>
      <c r="C70" s="8" t="n">
        <v>3.5</v>
      </c>
    </row>
    <row r="71">
      <c r="B71" s="8" t="inlineStr">
        <is>
          <t>Technical AEO</t>
        </is>
      </c>
      <c r="C71" s="8" t="n">
        <v>3.5</v>
      </c>
    </row>
    <row r="72">
      <c r="B72" s="8" t="inlineStr">
        <is>
          <t>Subjective Copy Read</t>
        </is>
      </c>
      <c r="C72" s="8" t="n">
        <v>2</v>
      </c>
    </row>
    <row r="73">
      <c r="B73" s="17" t="inlineStr">
        <is>
          <t>Named range: SubWt_search</t>
        </is>
      </c>
    </row>
    <row r="75">
      <c r="A75" s="18" t="inlineStr">
        <is>
          <t>Content Score</t>
        </is>
      </c>
    </row>
    <row r="76">
      <c r="B76" s="8" t="inlineStr">
        <is>
          <t>Depth</t>
        </is>
      </c>
      <c r="C76" s="8" t="n">
        <v>2</v>
      </c>
    </row>
    <row r="77">
      <c r="B77" s="8" t="inlineStr">
        <is>
          <t>Freshness</t>
        </is>
      </c>
      <c r="C77" s="8" t="n">
        <v>2</v>
      </c>
    </row>
    <row r="78">
      <c r="B78" s="8" t="inlineStr">
        <is>
          <t>Coverage</t>
        </is>
      </c>
      <c r="C78" s="8" t="n">
        <v>2</v>
      </c>
    </row>
    <row r="79">
      <c r="B79" s="17" t="inlineStr">
        <is>
          <t>Named range: SubWt_content</t>
        </is>
      </c>
    </row>
    <row r="81">
      <c r="A81" s="12" t="inlineStr">
        <is>
          <t>Letter Grade Thresholds</t>
        </is>
      </c>
    </row>
    <row r="82">
      <c r="A82" s="7" t="inlineStr">
        <is>
          <t>Min %</t>
        </is>
      </c>
      <c r="B82" s="7" t="inlineStr">
        <is>
          <t>Letter</t>
        </is>
      </c>
    </row>
    <row r="83">
      <c r="A83" s="19" t="n">
        <v>0</v>
      </c>
      <c r="B83" s="8" t="inlineStr">
        <is>
          <t>F</t>
        </is>
      </c>
    </row>
    <row r="84">
      <c r="A84" s="19" t="n">
        <v>0.6</v>
      </c>
      <c r="B84" s="8" t="inlineStr">
        <is>
          <t>D</t>
        </is>
      </c>
    </row>
    <row r="85">
      <c r="A85" s="19" t="n">
        <v>0.7</v>
      </c>
      <c r="B85" s="8" t="inlineStr">
        <is>
          <t>C-</t>
        </is>
      </c>
    </row>
    <row r="86">
      <c r="A86" s="19" t="n">
        <v>0.73</v>
      </c>
      <c r="B86" s="8" t="inlineStr">
        <is>
          <t>C</t>
        </is>
      </c>
    </row>
    <row r="87">
      <c r="A87" s="19" t="n">
        <v>0.77</v>
      </c>
      <c r="B87" s="8" t="inlineStr">
        <is>
          <t>C+</t>
        </is>
      </c>
    </row>
    <row r="88">
      <c r="A88" s="19" t="n">
        <v>0.8</v>
      </c>
      <c r="B88" s="8" t="inlineStr">
        <is>
          <t>B-</t>
        </is>
      </c>
    </row>
    <row r="89">
      <c r="A89" s="19" t="n">
        <v>0.83</v>
      </c>
      <c r="B89" s="8" t="inlineStr">
        <is>
          <t>B</t>
        </is>
      </c>
    </row>
    <row r="90">
      <c r="A90" s="19" t="n">
        <v>0.87</v>
      </c>
      <c r="B90" s="8" t="inlineStr">
        <is>
          <t>B+</t>
        </is>
      </c>
    </row>
    <row r="91">
      <c r="A91" s="19" t="n">
        <v>0.9</v>
      </c>
      <c r="B91" s="8" t="inlineStr">
        <is>
          <t>A-</t>
        </is>
      </c>
    </row>
    <row r="92">
      <c r="A92" s="19" t="n">
        <v>0.93</v>
      </c>
      <c r="B92" s="8" t="inlineStr">
        <is>
          <t>A</t>
        </is>
      </c>
    </row>
    <row r="95">
      <c r="A95" s="12" t="inlineStr">
        <is>
          <t>Critical Security Override</t>
        </is>
      </c>
    </row>
    <row r="96">
      <c r="A96" s="4" t="inlineStr">
        <is>
          <t>Override enabled</t>
        </is>
      </c>
      <c r="B96" t="b">
        <v>1</v>
      </c>
    </row>
    <row r="97">
      <c r="A97" s="4" t="inlineStr">
        <is>
          <t>Cap (max % when override active)</t>
        </is>
      </c>
      <c r="B97" s="20" t="n">
        <v>0.7699</v>
      </c>
    </row>
    <row r="99">
      <c r="A99" s="5" t="inlineStr">
        <is>
          <t>Any Security-category leaf scored 1 sets the override flag on Executive Scorecard, which caps the FINAL grade at the letter this Cap % resolves to via GradeTable (default just under the C+ threshold, i.e. C). This is a ceiling (MIN), never a floor: a final score that is already below the cap is left alone. Source: build plan section 4.3 Q9, adopted as-is per prd-020.</t>
        </is>
      </c>
    </row>
    <row r="100"/>
    <row r="101"/>
    <row r="104" ht="18" customHeight="1">
      <c r="A104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4">
    <mergeCell ref="A2:F2"/>
    <mergeCell ref="A99:F101"/>
    <mergeCell ref="A1:F1"/>
    <mergeCell ref="A104:F104"/>
  </mergeCells>
  <conditionalFormatting sqref="C25">
    <cfRule type="expression" priority="1" dxfId="0">
      <formula>C25&lt;&gt;100</formula>
    </cfRule>
  </conditionalFormatting>
  <hyperlinks>
    <hyperlink xmlns:r="http://schemas.openxmlformats.org/officeDocument/2006/relationships" ref="A10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42" customWidth="1" min="4" max="4"/>
    <col width="9" customWidth="1" min="5" max="5"/>
    <col width="26" customWidth="1" min="6" max="6"/>
    <col width="30" customWidth="1" min="7" max="7"/>
    <col width="9" customWidth="1" min="8" max="8"/>
    <col width="16" customWidth="1" min="9" max="9"/>
    <col width="18" customWidth="1" min="10" max="10"/>
    <col width="3" customWidth="1" min="11" max="11"/>
    <col width="11" customWidth="1" min="12" max="12"/>
    <col width="6" customWidth="1" min="13" max="13"/>
  </cols>
  <sheetData>
    <row r="1" ht="28" customHeight="1">
      <c r="A1" s="1" t="inlineStr">
        <is>
          <t>Scorecard - Leaf to Sub-audit to Category Rollup</t>
        </is>
      </c>
    </row>
    <row r="2">
      <c r="A2" s="2" t="inlineStr">
        <is>
          <t>N/A-aware masked SUMPRODUCT at every level. Column L carries every rollup value; column E carries only real leaf scores.</t>
        </is>
      </c>
    </row>
    <row r="4">
      <c r="A4" s="7" t="inlineStr">
        <is>
          <t>Category</t>
        </is>
      </c>
      <c r="B4" s="7" t="inlineStr">
        <is>
          <t>Sub-audit</t>
        </is>
      </c>
      <c r="C4" s="7" t="inlineStr">
        <is>
          <t>Leaf ID</t>
        </is>
      </c>
      <c r="D4" s="7" t="inlineStr">
        <is>
          <t>Description</t>
        </is>
      </c>
      <c r="E4" s="7" t="inlineStr">
        <is>
          <t>Score (0-6)</t>
        </is>
      </c>
      <c r="F4" s="7" t="inlineStr">
        <is>
          <t>Evidence pointer</t>
        </is>
      </c>
      <c r="G4" s="7" t="inlineStr">
        <is>
          <t>Justification</t>
        </is>
      </c>
      <c r="H4" s="7" t="inlineStr">
        <is>
          <t>Weight</t>
        </is>
      </c>
      <c r="I4" s="7" t="inlineStr">
        <is>
          <t>Included?</t>
        </is>
      </c>
      <c r="J4" s="7" t="inlineStr">
        <is>
          <t>Row type</t>
        </is>
      </c>
      <c r="K4" s="7" t="inlineStr"/>
      <c r="L4" s="7" t="inlineStr">
        <is>
          <t>Rollup %</t>
        </is>
      </c>
      <c r="M4" s="7" t="inlineStr"/>
    </row>
    <row r="5">
      <c r="A5" s="18" t="inlineStr">
        <is>
          <t>Security</t>
        </is>
      </c>
      <c r="B5" s="21" t="n"/>
      <c r="C5" s="22" t="inlineStr">
        <is>
          <t>Weight: 20 pts  (='Rubric'!$C$17)</t>
        </is>
      </c>
      <c r="D5" s="21" t="n"/>
      <c r="E5" s="21" t="n"/>
      <c r="F5" s="21" t="n"/>
      <c r="G5" s="21" t="n"/>
      <c r="H5" s="21" t="n"/>
      <c r="I5" s="21" t="n"/>
      <c r="J5" s="21" t="inlineStr">
        <is>
          <t>Category Header</t>
        </is>
      </c>
      <c r="K5" s="21" t="n"/>
      <c r="L5" s="21" t="n"/>
      <c r="M5" s="21" t="n"/>
    </row>
    <row r="6">
      <c r="B6" s="3" t="inlineStr">
        <is>
          <t>Headers (weight 2.8571)</t>
        </is>
      </c>
      <c r="J6" t="inlineStr">
        <is>
          <t>Sub-audit Header</t>
        </is>
      </c>
    </row>
    <row r="7">
      <c r="A7" s="8" t="inlineStr">
        <is>
          <t>Security</t>
        </is>
      </c>
      <c r="B7" s="8" t="inlineStr">
        <is>
          <t>Headers</t>
        </is>
      </c>
      <c r="C7" s="8" t="inlineStr">
        <is>
          <t>SECURITY-HEADERS-01</t>
        </is>
      </c>
      <c r="D7" s="15" t="inlineStr">
        <is>
          <t>Example: Strict-Transport-Security header absent (illustrative - demonstrates the override firing)</t>
        </is>
      </c>
      <c r="E7" s="23" t="n">
        <v>1</v>
      </c>
      <c r="F7" s="8" t="inlineStr">
        <is>
          <t>example-evidence-pointer.md#L1</t>
        </is>
      </c>
      <c r="G7" s="8" t="inlineStr">
        <is>
          <t>Illustrative justification text.</t>
        </is>
      </c>
      <c r="H7" s="23" t="n">
        <v>1</v>
      </c>
      <c r="I7" s="8">
        <f>IF(E7="","",IF(E7&gt;0,"Included","Excluded (N/A)"))</f>
        <v/>
      </c>
      <c r="J7" s="8" t="inlineStr">
        <is>
          <t>Leaf</t>
        </is>
      </c>
      <c r="K7" s="8" t="n"/>
      <c r="L7" s="8" t="n"/>
      <c r="M7" s="8">
        <f>IF(E7=1,1,0)</f>
        <v/>
      </c>
    </row>
    <row r="8">
      <c r="A8" s="8" t="inlineStr">
        <is>
          <t>Security</t>
        </is>
      </c>
      <c r="B8" s="8" t="inlineStr">
        <is>
          <t>Headers</t>
        </is>
      </c>
      <c r="C8" s="8" t="inlineStr">
        <is>
          <t>SECURITY-HEADERS-02</t>
        </is>
      </c>
      <c r="D8" s="15" t="inlineStr">
        <is>
          <t>Example leaf 2 for Headers (illustrative placeholder - replaced by the real upstream Bee's finding at run time)</t>
        </is>
      </c>
      <c r="E8" s="23" t="n">
        <v>6</v>
      </c>
      <c r="F8" s="8" t="inlineStr">
        <is>
          <t>example-evidence-pointer.md#L1</t>
        </is>
      </c>
      <c r="G8" s="8" t="inlineStr">
        <is>
          <t>Illustrative justification text.</t>
        </is>
      </c>
      <c r="H8" s="23" t="n">
        <v>1</v>
      </c>
      <c r="I8" s="8">
        <f>IF(E8="","",IF(E8&gt;0,"Included","Excluded (N/A)"))</f>
        <v/>
      </c>
      <c r="J8" s="8" t="inlineStr">
        <is>
          <t>Leaf</t>
        </is>
      </c>
      <c r="K8" s="8" t="n"/>
      <c r="L8" s="8" t="n"/>
      <c r="M8" s="8">
        <f>IF(E8=1,1,0)</f>
        <v/>
      </c>
    </row>
    <row r="9">
      <c r="A9" s="8" t="inlineStr">
        <is>
          <t>Security</t>
        </is>
      </c>
      <c r="B9" s="8" t="inlineStr">
        <is>
          <t>Headers</t>
        </is>
      </c>
      <c r="C9" s="8" t="inlineStr">
        <is>
          <t>SECURITY-HEADERS-03</t>
        </is>
      </c>
      <c r="D9" s="15" t="inlineStr">
        <is>
          <t>Example leaf 3 for Headers (illustrative placeholder - replaced by the real upstream Bee's finding at run time)</t>
        </is>
      </c>
      <c r="E9" s="23" t="n">
        <v>6</v>
      </c>
      <c r="F9" s="8" t="inlineStr">
        <is>
          <t>example-evidence-pointer.md#L1</t>
        </is>
      </c>
      <c r="G9" s="8" t="inlineStr">
        <is>
          <t>Illustrative justification text.</t>
        </is>
      </c>
      <c r="H9" s="23" t="n">
        <v>1</v>
      </c>
      <c r="I9" s="8">
        <f>IF(E9="","",IF(E9&gt;0,"Included","Excluded (N/A)"))</f>
        <v/>
      </c>
      <c r="J9" s="8" t="inlineStr">
        <is>
          <t>Leaf</t>
        </is>
      </c>
      <c r="K9" s="8" t="n"/>
      <c r="L9" s="8" t="n"/>
      <c r="M9" s="8">
        <f>IF(E9=1,1,0)</f>
        <v/>
      </c>
    </row>
    <row r="10">
      <c r="A10" s="8" t="inlineStr">
        <is>
          <t>Security</t>
        </is>
      </c>
      <c r="B10" s="8" t="inlineStr">
        <is>
          <t>Headers</t>
        </is>
      </c>
      <c r="C10" s="8" t="inlineStr">
        <is>
          <t>SECURITY-HEADERS-04</t>
        </is>
      </c>
      <c r="D10" s="15" t="inlineStr">
        <is>
          <t>Example leaf 4 for Headers (illustrative - not applicable to this site type)</t>
        </is>
      </c>
      <c r="E10" s="23" t="n">
        <v>0</v>
      </c>
      <c r="F10" s="8" t="inlineStr">
        <is>
          <t>n/a</t>
        </is>
      </c>
      <c r="G10" s="8" t="inlineStr">
        <is>
          <t>Not applicable to this site type.</t>
        </is>
      </c>
      <c r="H10" s="23" t="n">
        <v>1</v>
      </c>
      <c r="I10" s="8">
        <f>IF(E10="","",IF(E10&gt;0,"Included","Excluded (N/A)"))</f>
        <v/>
      </c>
      <c r="J10" s="8" t="inlineStr">
        <is>
          <t>Leaf</t>
        </is>
      </c>
      <c r="K10" s="8" t="n"/>
      <c r="L10" s="8" t="n"/>
      <c r="M10" s="8">
        <f>IF(E10=1,1,0)</f>
        <v/>
      </c>
    </row>
    <row r="11">
      <c r="B11" s="17" t="inlineStr">
        <is>
          <t xml:space="preserve">  -&gt; Headers rollup</t>
        </is>
      </c>
      <c r="J11" t="inlineStr">
        <is>
          <t>Sub-audit Rollup</t>
        </is>
      </c>
      <c r="L11" s="11">
        <f>IF(SUMPRODUCT(--(E7:E10&gt;0),H7:H10)=0,"N/A",SUMPRODUCT(--(E7:E10&gt;0),E7:E10,H7:H10)/(6*SUMPRODUCT(--(E7:E10&gt;0),H7:H10)))</f>
        <v/>
      </c>
    </row>
    <row r="12">
      <c r="B12" s="3" t="inlineStr">
        <is>
          <t>TLS (weight 2.8571)</t>
        </is>
      </c>
      <c r="J12" t="inlineStr">
        <is>
          <t>Sub-audit Header</t>
        </is>
      </c>
    </row>
    <row r="13">
      <c r="A13" s="8" t="inlineStr">
        <is>
          <t>Security</t>
        </is>
      </c>
      <c r="B13" s="8" t="inlineStr">
        <is>
          <t>TLS</t>
        </is>
      </c>
      <c r="C13" s="8" t="inlineStr">
        <is>
          <t>SECURITY-TLS-01</t>
        </is>
      </c>
      <c r="D13" s="15" t="inlineStr">
        <is>
          <t>Example leaf 1 for TLS (illustrative placeholder - replaced by the real upstream Bee's finding at run time)</t>
        </is>
      </c>
      <c r="E13" s="23" t="n">
        <v>6</v>
      </c>
      <c r="F13" s="8" t="inlineStr">
        <is>
          <t>example-evidence-pointer.md#L1</t>
        </is>
      </c>
      <c r="G13" s="8" t="inlineStr">
        <is>
          <t>Illustrative justification text.</t>
        </is>
      </c>
      <c r="H13" s="23" t="n">
        <v>1</v>
      </c>
      <c r="I13" s="8">
        <f>IF(E13="","",IF(E13&gt;0,"Included","Excluded (N/A)"))</f>
        <v/>
      </c>
      <c r="J13" s="8" t="inlineStr">
        <is>
          <t>Leaf</t>
        </is>
      </c>
      <c r="K13" s="8" t="n"/>
      <c r="L13" s="8" t="n"/>
      <c r="M13" s="8">
        <f>IF(E13=1,1,0)</f>
        <v/>
      </c>
    </row>
    <row r="14">
      <c r="A14" s="8" t="inlineStr">
        <is>
          <t>Security</t>
        </is>
      </c>
      <c r="B14" s="8" t="inlineStr">
        <is>
          <t>TLS</t>
        </is>
      </c>
      <c r="C14" s="8" t="inlineStr">
        <is>
          <t>SECURITY-TLS-02</t>
        </is>
      </c>
      <c r="D14" s="15" t="inlineStr">
        <is>
          <t>Example leaf 2 for TLS (illustrative placeholder - replaced by the real upstream Bee's finding at run time)</t>
        </is>
      </c>
      <c r="E14" s="23" t="n">
        <v>6</v>
      </c>
      <c r="F14" s="8" t="inlineStr">
        <is>
          <t>example-evidence-pointer.md#L1</t>
        </is>
      </c>
      <c r="G14" s="8" t="inlineStr">
        <is>
          <t>Illustrative justification text.</t>
        </is>
      </c>
      <c r="H14" s="23" t="n">
        <v>1</v>
      </c>
      <c r="I14" s="8">
        <f>IF(E14="","",IF(E14&gt;0,"Included","Excluded (N/A)"))</f>
        <v/>
      </c>
      <c r="J14" s="8" t="inlineStr">
        <is>
          <t>Leaf</t>
        </is>
      </c>
      <c r="K14" s="8" t="n"/>
      <c r="L14" s="8" t="n"/>
      <c r="M14" s="8">
        <f>IF(E14=1,1,0)</f>
        <v/>
      </c>
    </row>
    <row r="15">
      <c r="A15" s="8" t="inlineStr">
        <is>
          <t>Security</t>
        </is>
      </c>
      <c r="B15" s="8" t="inlineStr">
        <is>
          <t>TLS</t>
        </is>
      </c>
      <c r="C15" s="8" t="inlineStr">
        <is>
          <t>SECURITY-TLS-03</t>
        </is>
      </c>
      <c r="D15" s="15" t="inlineStr">
        <is>
          <t>Example leaf 3 for TLS (illustrative placeholder - replaced by the real upstream Bee's finding at run time)</t>
        </is>
      </c>
      <c r="E15" s="23" t="n">
        <v>6</v>
      </c>
      <c r="F15" s="8" t="inlineStr">
        <is>
          <t>example-evidence-pointer.md#L1</t>
        </is>
      </c>
      <c r="G15" s="8" t="inlineStr">
        <is>
          <t>Illustrative justification text.</t>
        </is>
      </c>
      <c r="H15" s="23" t="n">
        <v>1</v>
      </c>
      <c r="I15" s="8">
        <f>IF(E15="","",IF(E15&gt;0,"Included","Excluded (N/A)"))</f>
        <v/>
      </c>
      <c r="J15" s="8" t="inlineStr">
        <is>
          <t>Leaf</t>
        </is>
      </c>
      <c r="K15" s="8" t="n"/>
      <c r="L15" s="8" t="n"/>
      <c r="M15" s="8">
        <f>IF(E15=1,1,0)</f>
        <v/>
      </c>
    </row>
    <row r="16">
      <c r="A16" s="8" t="inlineStr">
        <is>
          <t>Security</t>
        </is>
      </c>
      <c r="B16" s="8" t="inlineStr">
        <is>
          <t>TLS</t>
        </is>
      </c>
      <c r="C16" s="8" t="inlineStr">
        <is>
          <t>SECURITY-TLS-04</t>
        </is>
      </c>
      <c r="D16" s="15" t="inlineStr">
        <is>
          <t>Example leaf 4 for TLS (illustrative - not applicable to this site type)</t>
        </is>
      </c>
      <c r="E16" s="23" t="n">
        <v>0</v>
      </c>
      <c r="F16" s="8" t="inlineStr">
        <is>
          <t>n/a</t>
        </is>
      </c>
      <c r="G16" s="8" t="inlineStr">
        <is>
          <t>Not applicable to this site type.</t>
        </is>
      </c>
      <c r="H16" s="23" t="n">
        <v>1</v>
      </c>
      <c r="I16" s="8">
        <f>IF(E16="","",IF(E16&gt;0,"Included","Excluded (N/A)"))</f>
        <v/>
      </c>
      <c r="J16" s="8" t="inlineStr">
        <is>
          <t>Leaf</t>
        </is>
      </c>
      <c r="K16" s="8" t="n"/>
      <c r="L16" s="8" t="n"/>
      <c r="M16" s="8">
        <f>IF(E16=1,1,0)</f>
        <v/>
      </c>
    </row>
    <row r="17">
      <c r="B17" s="17" t="inlineStr">
        <is>
          <t xml:space="preserve">  -&gt; TLS rollup</t>
        </is>
      </c>
      <c r="J17" t="inlineStr">
        <is>
          <t>Sub-audit Rollup</t>
        </is>
      </c>
      <c r="L17" s="11">
        <f>IF(SUMPRODUCT(--(E13:E16&gt;0),H13:H16)=0,"N/A",SUMPRODUCT(--(E13:E16&gt;0),E13:E16,H13:H16)/(6*SUMPRODUCT(--(E13:E16&gt;0),H13:H16)))</f>
        <v/>
      </c>
    </row>
    <row r="18">
      <c r="B18" s="3" t="inlineStr">
        <is>
          <t>Cookies (weight 2.8571)</t>
        </is>
      </c>
      <c r="J18" t="inlineStr">
        <is>
          <t>Sub-audit Header</t>
        </is>
      </c>
    </row>
    <row r="19">
      <c r="A19" s="8" t="inlineStr">
        <is>
          <t>Security</t>
        </is>
      </c>
      <c r="B19" s="8" t="inlineStr">
        <is>
          <t>Cookies</t>
        </is>
      </c>
      <c r="C19" s="8" t="inlineStr">
        <is>
          <t>SECURITY-COOKIES-01</t>
        </is>
      </c>
      <c r="D19" s="15" t="inlineStr">
        <is>
          <t>Example leaf 1 for Cookies (illustrative placeholder - replaced by the real upstream Bee's finding at run time)</t>
        </is>
      </c>
      <c r="E19" s="23" t="n">
        <v>6</v>
      </c>
      <c r="F19" s="8" t="inlineStr">
        <is>
          <t>example-evidence-pointer.md#L1</t>
        </is>
      </c>
      <c r="G19" s="8" t="inlineStr">
        <is>
          <t>Illustrative justification text.</t>
        </is>
      </c>
      <c r="H19" s="23" t="n">
        <v>1</v>
      </c>
      <c r="I19" s="8">
        <f>IF(E19="","",IF(E19&gt;0,"Included","Excluded (N/A)"))</f>
        <v/>
      </c>
      <c r="J19" s="8" t="inlineStr">
        <is>
          <t>Leaf</t>
        </is>
      </c>
      <c r="K19" s="8" t="n"/>
      <c r="L19" s="8" t="n"/>
      <c r="M19" s="8">
        <f>IF(E19=1,1,0)</f>
        <v/>
      </c>
    </row>
    <row r="20">
      <c r="A20" s="8" t="inlineStr">
        <is>
          <t>Security</t>
        </is>
      </c>
      <c r="B20" s="8" t="inlineStr">
        <is>
          <t>Cookies</t>
        </is>
      </c>
      <c r="C20" s="8" t="inlineStr">
        <is>
          <t>SECURITY-COOKIES-02</t>
        </is>
      </c>
      <c r="D20" s="15" t="inlineStr">
        <is>
          <t>Example leaf 2 for Cookies (illustrative placeholder - replaced by the real upstream Bee's finding at run time)</t>
        </is>
      </c>
      <c r="E20" s="23" t="n">
        <v>6</v>
      </c>
      <c r="F20" s="8" t="inlineStr">
        <is>
          <t>example-evidence-pointer.md#L1</t>
        </is>
      </c>
      <c r="G20" s="8" t="inlineStr">
        <is>
          <t>Illustrative justification text.</t>
        </is>
      </c>
      <c r="H20" s="23" t="n">
        <v>1</v>
      </c>
      <c r="I20" s="8">
        <f>IF(E20="","",IF(E20&gt;0,"Included","Excluded (N/A)"))</f>
        <v/>
      </c>
      <c r="J20" s="8" t="inlineStr">
        <is>
          <t>Leaf</t>
        </is>
      </c>
      <c r="K20" s="8" t="n"/>
      <c r="L20" s="8" t="n"/>
      <c r="M20" s="8">
        <f>IF(E20=1,1,0)</f>
        <v/>
      </c>
    </row>
    <row r="21">
      <c r="A21" s="8" t="inlineStr">
        <is>
          <t>Security</t>
        </is>
      </c>
      <c r="B21" s="8" t="inlineStr">
        <is>
          <t>Cookies</t>
        </is>
      </c>
      <c r="C21" s="8" t="inlineStr">
        <is>
          <t>SECURITY-COOKIES-03</t>
        </is>
      </c>
      <c r="D21" s="15" t="inlineStr">
        <is>
          <t>Example leaf 3 for Cookies (illustrative placeholder - replaced by the real upstream Bee's finding at run time)</t>
        </is>
      </c>
      <c r="E21" s="23" t="n">
        <v>6</v>
      </c>
      <c r="F21" s="8" t="inlineStr">
        <is>
          <t>example-evidence-pointer.md#L1</t>
        </is>
      </c>
      <c r="G21" s="8" t="inlineStr">
        <is>
          <t>Illustrative justification text.</t>
        </is>
      </c>
      <c r="H21" s="23" t="n">
        <v>1</v>
      </c>
      <c r="I21" s="8">
        <f>IF(E21="","",IF(E21&gt;0,"Included","Excluded (N/A)"))</f>
        <v/>
      </c>
      <c r="J21" s="8" t="inlineStr">
        <is>
          <t>Leaf</t>
        </is>
      </c>
      <c r="K21" s="8" t="n"/>
      <c r="L21" s="8" t="n"/>
      <c r="M21" s="8">
        <f>IF(E21=1,1,0)</f>
        <v/>
      </c>
    </row>
    <row r="22">
      <c r="A22" s="8" t="inlineStr">
        <is>
          <t>Security</t>
        </is>
      </c>
      <c r="B22" s="8" t="inlineStr">
        <is>
          <t>Cookies</t>
        </is>
      </c>
      <c r="C22" s="8" t="inlineStr">
        <is>
          <t>SECURITY-COOKIES-04</t>
        </is>
      </c>
      <c r="D22" s="15" t="inlineStr">
        <is>
          <t>Example leaf 4 for Cookies (illustrative - not applicable to this site type)</t>
        </is>
      </c>
      <c r="E22" s="23" t="n">
        <v>0</v>
      </c>
      <c r="F22" s="8" t="inlineStr">
        <is>
          <t>n/a</t>
        </is>
      </c>
      <c r="G22" s="8" t="inlineStr">
        <is>
          <t>Not applicable to this site type.</t>
        </is>
      </c>
      <c r="H22" s="23" t="n">
        <v>1</v>
      </c>
      <c r="I22" s="8">
        <f>IF(E22="","",IF(E22&gt;0,"Included","Excluded (N/A)"))</f>
        <v/>
      </c>
      <c r="J22" s="8" t="inlineStr">
        <is>
          <t>Leaf</t>
        </is>
      </c>
      <c r="K22" s="8" t="n"/>
      <c r="L22" s="8" t="n"/>
      <c r="M22" s="8">
        <f>IF(E22=1,1,0)</f>
        <v/>
      </c>
    </row>
    <row r="23">
      <c r="B23" s="17" t="inlineStr">
        <is>
          <t xml:space="preserve">  -&gt; Cookies rollup</t>
        </is>
      </c>
      <c r="J23" t="inlineStr">
        <is>
          <t>Sub-audit Rollup</t>
        </is>
      </c>
      <c r="L23" s="11">
        <f>IF(SUMPRODUCT(--(E19:E22&gt;0),H19:H22)=0,"N/A",SUMPRODUCT(--(E19:E22&gt;0),E19:E22,H19:H22)/(6*SUMPRODUCT(--(E19:E22&gt;0),H19:H22)))</f>
        <v/>
      </c>
    </row>
    <row r="24">
      <c r="B24" s="3" t="inlineStr">
        <is>
          <t>Content-Security-Policy (weight 2.8571)</t>
        </is>
      </c>
      <c r="J24" t="inlineStr">
        <is>
          <t>Sub-audit Header</t>
        </is>
      </c>
    </row>
    <row r="25">
      <c r="A25" s="8" t="inlineStr">
        <is>
          <t>Security</t>
        </is>
      </c>
      <c r="B25" s="8" t="inlineStr">
        <is>
          <t>Content-Security-Policy</t>
        </is>
      </c>
      <c r="C25" s="8" t="inlineStr">
        <is>
          <t>SECURITY-CSP-01</t>
        </is>
      </c>
      <c r="D25" s="15" t="inlineStr">
        <is>
          <t>Example leaf 1 for Content-Security-Policy (illustrative placeholder - replaced by the real upstream Bee's finding at run time)</t>
        </is>
      </c>
      <c r="E25" s="23" t="n">
        <v>6</v>
      </c>
      <c r="F25" s="8" t="inlineStr">
        <is>
          <t>example-evidence-pointer.md#L1</t>
        </is>
      </c>
      <c r="G25" s="8" t="inlineStr">
        <is>
          <t>Illustrative justification text.</t>
        </is>
      </c>
      <c r="H25" s="23" t="n">
        <v>1</v>
      </c>
      <c r="I25" s="8">
        <f>IF(E25="","",IF(E25&gt;0,"Included","Excluded (N/A)"))</f>
        <v/>
      </c>
      <c r="J25" s="8" t="inlineStr">
        <is>
          <t>Leaf</t>
        </is>
      </c>
      <c r="K25" s="8" t="n"/>
      <c r="L25" s="8" t="n"/>
      <c r="M25" s="8">
        <f>IF(E25=1,1,0)</f>
        <v/>
      </c>
    </row>
    <row r="26">
      <c r="A26" s="8" t="inlineStr">
        <is>
          <t>Security</t>
        </is>
      </c>
      <c r="B26" s="8" t="inlineStr">
        <is>
          <t>Content-Security-Policy</t>
        </is>
      </c>
      <c r="C26" s="8" t="inlineStr">
        <is>
          <t>SECURITY-CSP-02</t>
        </is>
      </c>
      <c r="D26" s="15" t="inlineStr">
        <is>
          <t>Example leaf 2 for Content-Security-Policy (illustrative placeholder - replaced by the real upstream Bee's finding at run time)</t>
        </is>
      </c>
      <c r="E26" s="23" t="n">
        <v>6</v>
      </c>
      <c r="F26" s="8" t="inlineStr">
        <is>
          <t>example-evidence-pointer.md#L1</t>
        </is>
      </c>
      <c r="G26" s="8" t="inlineStr">
        <is>
          <t>Illustrative justification text.</t>
        </is>
      </c>
      <c r="H26" s="23" t="n">
        <v>1</v>
      </c>
      <c r="I26" s="8">
        <f>IF(E26="","",IF(E26&gt;0,"Included","Excluded (N/A)"))</f>
        <v/>
      </c>
      <c r="J26" s="8" t="inlineStr">
        <is>
          <t>Leaf</t>
        </is>
      </c>
      <c r="K26" s="8" t="n"/>
      <c r="L26" s="8" t="n"/>
      <c r="M26" s="8">
        <f>IF(E26=1,1,0)</f>
        <v/>
      </c>
    </row>
    <row r="27">
      <c r="A27" s="8" t="inlineStr">
        <is>
          <t>Security</t>
        </is>
      </c>
      <c r="B27" s="8" t="inlineStr">
        <is>
          <t>Content-Security-Policy</t>
        </is>
      </c>
      <c r="C27" s="8" t="inlineStr">
        <is>
          <t>SECURITY-CSP-03</t>
        </is>
      </c>
      <c r="D27" s="15" t="inlineStr">
        <is>
          <t>Example leaf 3 for Content-Security-Policy (illustrative placeholder - replaced by the real upstream Bee's finding at run time)</t>
        </is>
      </c>
      <c r="E27" s="23" t="n">
        <v>6</v>
      </c>
      <c r="F27" s="8" t="inlineStr">
        <is>
          <t>example-evidence-pointer.md#L1</t>
        </is>
      </c>
      <c r="G27" s="8" t="inlineStr">
        <is>
          <t>Illustrative justification text.</t>
        </is>
      </c>
      <c r="H27" s="23" t="n">
        <v>1</v>
      </c>
      <c r="I27" s="8">
        <f>IF(E27="","",IF(E27&gt;0,"Included","Excluded (N/A)"))</f>
        <v/>
      </c>
      <c r="J27" s="8" t="inlineStr">
        <is>
          <t>Leaf</t>
        </is>
      </c>
      <c r="K27" s="8" t="n"/>
      <c r="L27" s="8" t="n"/>
      <c r="M27" s="8">
        <f>IF(E27=1,1,0)</f>
        <v/>
      </c>
    </row>
    <row r="28">
      <c r="A28" s="8" t="inlineStr">
        <is>
          <t>Security</t>
        </is>
      </c>
      <c r="B28" s="8" t="inlineStr">
        <is>
          <t>Content-Security-Policy</t>
        </is>
      </c>
      <c r="C28" s="8" t="inlineStr">
        <is>
          <t>SECURITY-CSP-04</t>
        </is>
      </c>
      <c r="D28" s="15" t="inlineStr">
        <is>
          <t>Example leaf 4 for Content-Security-Policy (illustrative - not applicable to this site type)</t>
        </is>
      </c>
      <c r="E28" s="23" t="n">
        <v>0</v>
      </c>
      <c r="F28" s="8" t="inlineStr">
        <is>
          <t>n/a</t>
        </is>
      </c>
      <c r="G28" s="8" t="inlineStr">
        <is>
          <t>Not applicable to this site type.</t>
        </is>
      </c>
      <c r="H28" s="23" t="n">
        <v>1</v>
      </c>
      <c r="I28" s="8">
        <f>IF(E28="","",IF(E28&gt;0,"Included","Excluded (N/A)"))</f>
        <v/>
      </c>
      <c r="J28" s="8" t="inlineStr">
        <is>
          <t>Leaf</t>
        </is>
      </c>
      <c r="K28" s="8" t="n"/>
      <c r="L28" s="8" t="n"/>
      <c r="M28" s="8">
        <f>IF(E28=1,1,0)</f>
        <v/>
      </c>
    </row>
    <row r="29">
      <c r="B29" s="17" t="inlineStr">
        <is>
          <t xml:space="preserve">  -&gt; Content-Security-Policy rollup</t>
        </is>
      </c>
      <c r="J29" t="inlineStr">
        <is>
          <t>Sub-audit Rollup</t>
        </is>
      </c>
      <c r="L29" s="11">
        <f>IF(SUMPRODUCT(--(E25:E28&gt;0),H25:H28)=0,"N/A",SUMPRODUCT(--(E25:E28&gt;0),E25:E28,H25:H28)/(6*SUMPRODUCT(--(E25:E28&gt;0),H25:H28)))</f>
        <v/>
      </c>
    </row>
    <row r="30">
      <c r="B30" s="3" t="inlineStr">
        <is>
          <t>Platform Exposure (weight 2.8571)</t>
        </is>
      </c>
      <c r="J30" t="inlineStr">
        <is>
          <t>Sub-audit Header</t>
        </is>
      </c>
    </row>
    <row r="31">
      <c r="A31" s="8" t="inlineStr">
        <is>
          <t>Security</t>
        </is>
      </c>
      <c r="B31" s="8" t="inlineStr">
        <is>
          <t>Platform Exposure</t>
        </is>
      </c>
      <c r="C31" s="8" t="inlineStr">
        <is>
          <t>SECURITY-PLATFORM_EXPOSURE-01</t>
        </is>
      </c>
      <c r="D31" s="15" t="inlineStr">
        <is>
          <t>Example leaf 1 for Platform Exposure (illustrative placeholder - replaced by the real upstream Bee's finding at run time)</t>
        </is>
      </c>
      <c r="E31" s="23" t="n">
        <v>6</v>
      </c>
      <c r="F31" s="8" t="inlineStr">
        <is>
          <t>example-evidence-pointer.md#L1</t>
        </is>
      </c>
      <c r="G31" s="8" t="inlineStr">
        <is>
          <t>Illustrative justification text.</t>
        </is>
      </c>
      <c r="H31" s="23" t="n">
        <v>1</v>
      </c>
      <c r="I31" s="8">
        <f>IF(E31="","",IF(E31&gt;0,"Included","Excluded (N/A)"))</f>
        <v/>
      </c>
      <c r="J31" s="8" t="inlineStr">
        <is>
          <t>Leaf</t>
        </is>
      </c>
      <c r="K31" s="8" t="n"/>
      <c r="L31" s="8" t="n"/>
      <c r="M31" s="8">
        <f>IF(E31=1,1,0)</f>
        <v/>
      </c>
    </row>
    <row r="32">
      <c r="A32" s="8" t="inlineStr">
        <is>
          <t>Security</t>
        </is>
      </c>
      <c r="B32" s="8" t="inlineStr">
        <is>
          <t>Platform Exposure</t>
        </is>
      </c>
      <c r="C32" s="8" t="inlineStr">
        <is>
          <t>SECURITY-PLATFORM_EXPOSURE-02</t>
        </is>
      </c>
      <c r="D32" s="15" t="inlineStr">
        <is>
          <t>Example leaf 2 for Platform Exposure (illustrative placeholder - replaced by the real upstream Bee's finding at run time)</t>
        </is>
      </c>
      <c r="E32" s="23" t="n">
        <v>6</v>
      </c>
      <c r="F32" s="8" t="inlineStr">
        <is>
          <t>example-evidence-pointer.md#L1</t>
        </is>
      </c>
      <c r="G32" s="8" t="inlineStr">
        <is>
          <t>Illustrative justification text.</t>
        </is>
      </c>
      <c r="H32" s="23" t="n">
        <v>1</v>
      </c>
      <c r="I32" s="8">
        <f>IF(E32="","",IF(E32&gt;0,"Included","Excluded (N/A)"))</f>
        <v/>
      </c>
      <c r="J32" s="8" t="inlineStr">
        <is>
          <t>Leaf</t>
        </is>
      </c>
      <c r="K32" s="8" t="n"/>
      <c r="L32" s="8" t="n"/>
      <c r="M32" s="8">
        <f>IF(E32=1,1,0)</f>
        <v/>
      </c>
    </row>
    <row r="33">
      <c r="A33" s="8" t="inlineStr">
        <is>
          <t>Security</t>
        </is>
      </c>
      <c r="B33" s="8" t="inlineStr">
        <is>
          <t>Platform Exposure</t>
        </is>
      </c>
      <c r="C33" s="8" t="inlineStr">
        <is>
          <t>SECURITY-PLATFORM_EXPOSURE-03</t>
        </is>
      </c>
      <c r="D33" s="15" t="inlineStr">
        <is>
          <t>Example leaf 3 for Platform Exposure (illustrative placeholder - replaced by the real upstream Bee's finding at run time)</t>
        </is>
      </c>
      <c r="E33" s="23" t="n">
        <v>6</v>
      </c>
      <c r="F33" s="8" t="inlineStr">
        <is>
          <t>example-evidence-pointer.md#L1</t>
        </is>
      </c>
      <c r="G33" s="8" t="inlineStr">
        <is>
          <t>Illustrative justification text.</t>
        </is>
      </c>
      <c r="H33" s="23" t="n">
        <v>1</v>
      </c>
      <c r="I33" s="8">
        <f>IF(E33="","",IF(E33&gt;0,"Included","Excluded (N/A)"))</f>
        <v/>
      </c>
      <c r="J33" s="8" t="inlineStr">
        <is>
          <t>Leaf</t>
        </is>
      </c>
      <c r="K33" s="8" t="n"/>
      <c r="L33" s="8" t="n"/>
      <c r="M33" s="8">
        <f>IF(E33=1,1,0)</f>
        <v/>
      </c>
    </row>
    <row r="34">
      <c r="A34" s="8" t="inlineStr">
        <is>
          <t>Security</t>
        </is>
      </c>
      <c r="B34" s="8" t="inlineStr">
        <is>
          <t>Platform Exposure</t>
        </is>
      </c>
      <c r="C34" s="8" t="inlineStr">
        <is>
          <t>SECURITY-PLATFORM_EXPOSURE-04</t>
        </is>
      </c>
      <c r="D34" s="15" t="inlineStr">
        <is>
          <t>Example leaf 4 for Platform Exposure (illustrative - not applicable to this site type)</t>
        </is>
      </c>
      <c r="E34" s="23" t="n">
        <v>0</v>
      </c>
      <c r="F34" s="8" t="inlineStr">
        <is>
          <t>n/a</t>
        </is>
      </c>
      <c r="G34" s="8" t="inlineStr">
        <is>
          <t>Not applicable to this site type.</t>
        </is>
      </c>
      <c r="H34" s="23" t="n">
        <v>1</v>
      </c>
      <c r="I34" s="8">
        <f>IF(E34="","",IF(E34&gt;0,"Included","Excluded (N/A)"))</f>
        <v/>
      </c>
      <c r="J34" s="8" t="inlineStr">
        <is>
          <t>Leaf</t>
        </is>
      </c>
      <c r="K34" s="8" t="n"/>
      <c r="L34" s="8" t="n"/>
      <c r="M34" s="8">
        <f>IF(E34=1,1,0)</f>
        <v/>
      </c>
    </row>
    <row r="35">
      <c r="B35" s="17" t="inlineStr">
        <is>
          <t xml:space="preserve">  -&gt; Platform Exposure rollup</t>
        </is>
      </c>
      <c r="J35" t="inlineStr">
        <is>
          <t>Sub-audit Rollup</t>
        </is>
      </c>
      <c r="L35" s="11">
        <f>IF(SUMPRODUCT(--(E31:E34&gt;0),H31:H34)=0,"N/A",SUMPRODUCT(--(E31:E34&gt;0),E31:E34,H31:H34)/(6*SUMPRODUCT(--(E31:E34&gt;0),H31:H34)))</f>
        <v/>
      </c>
    </row>
    <row r="36">
      <c r="B36" s="3" t="inlineStr">
        <is>
          <t>Client-Side Injection (weight 2.8571)</t>
        </is>
      </c>
      <c r="J36" t="inlineStr">
        <is>
          <t>Sub-audit Header</t>
        </is>
      </c>
    </row>
    <row r="37">
      <c r="A37" s="8" t="inlineStr">
        <is>
          <t>Security</t>
        </is>
      </c>
      <c r="B37" s="8" t="inlineStr">
        <is>
          <t>Client-Side Injection</t>
        </is>
      </c>
      <c r="C37" s="8" t="inlineStr">
        <is>
          <t>SECURITY-CLIENT_INJECTION-01</t>
        </is>
      </c>
      <c r="D37" s="15" t="inlineStr">
        <is>
          <t>Example leaf 1 for Client-Side Injection (illustrative placeholder - replaced by the real upstream Bee's finding at run time)</t>
        </is>
      </c>
      <c r="E37" s="23" t="n">
        <v>6</v>
      </c>
      <c r="F37" s="8" t="inlineStr">
        <is>
          <t>example-evidence-pointer.md#L1</t>
        </is>
      </c>
      <c r="G37" s="8" t="inlineStr">
        <is>
          <t>Illustrative justification text.</t>
        </is>
      </c>
      <c r="H37" s="23" t="n">
        <v>1</v>
      </c>
      <c r="I37" s="8">
        <f>IF(E37="","",IF(E37&gt;0,"Included","Excluded (N/A)"))</f>
        <v/>
      </c>
      <c r="J37" s="8" t="inlineStr">
        <is>
          <t>Leaf</t>
        </is>
      </c>
      <c r="K37" s="8" t="n"/>
      <c r="L37" s="8" t="n"/>
      <c r="M37" s="8">
        <f>IF(E37=1,1,0)</f>
        <v/>
      </c>
    </row>
    <row r="38">
      <c r="A38" s="8" t="inlineStr">
        <is>
          <t>Security</t>
        </is>
      </c>
      <c r="B38" s="8" t="inlineStr">
        <is>
          <t>Client-Side Injection</t>
        </is>
      </c>
      <c r="C38" s="8" t="inlineStr">
        <is>
          <t>SECURITY-CLIENT_INJECTION-02</t>
        </is>
      </c>
      <c r="D38" s="15" t="inlineStr">
        <is>
          <t>Example leaf 2 for Client-Side Injection (illustrative placeholder - replaced by the real upstream Bee's finding at run time)</t>
        </is>
      </c>
      <c r="E38" s="23" t="n">
        <v>6</v>
      </c>
      <c r="F38" s="8" t="inlineStr">
        <is>
          <t>example-evidence-pointer.md#L1</t>
        </is>
      </c>
      <c r="G38" s="8" t="inlineStr">
        <is>
          <t>Illustrative justification text.</t>
        </is>
      </c>
      <c r="H38" s="23" t="n">
        <v>1</v>
      </c>
      <c r="I38" s="8">
        <f>IF(E38="","",IF(E38&gt;0,"Included","Excluded (N/A)"))</f>
        <v/>
      </c>
      <c r="J38" s="8" t="inlineStr">
        <is>
          <t>Leaf</t>
        </is>
      </c>
      <c r="K38" s="8" t="n"/>
      <c r="L38" s="8" t="n"/>
      <c r="M38" s="8">
        <f>IF(E38=1,1,0)</f>
        <v/>
      </c>
    </row>
    <row r="39">
      <c r="A39" s="8" t="inlineStr">
        <is>
          <t>Security</t>
        </is>
      </c>
      <c r="B39" s="8" t="inlineStr">
        <is>
          <t>Client-Side Injection</t>
        </is>
      </c>
      <c r="C39" s="8" t="inlineStr">
        <is>
          <t>SECURITY-CLIENT_INJECTION-03</t>
        </is>
      </c>
      <c r="D39" s="15" t="inlineStr">
        <is>
          <t>Example leaf 3 for Client-Side Injection (illustrative placeholder - replaced by the real upstream Bee's finding at run time)</t>
        </is>
      </c>
      <c r="E39" s="23" t="n">
        <v>6</v>
      </c>
      <c r="F39" s="8" t="inlineStr">
        <is>
          <t>example-evidence-pointer.md#L1</t>
        </is>
      </c>
      <c r="G39" s="8" t="inlineStr">
        <is>
          <t>Illustrative justification text.</t>
        </is>
      </c>
      <c r="H39" s="23" t="n">
        <v>1</v>
      </c>
      <c r="I39" s="8">
        <f>IF(E39="","",IF(E39&gt;0,"Included","Excluded (N/A)"))</f>
        <v/>
      </c>
      <c r="J39" s="8" t="inlineStr">
        <is>
          <t>Leaf</t>
        </is>
      </c>
      <c r="K39" s="8" t="n"/>
      <c r="L39" s="8" t="n"/>
      <c r="M39" s="8">
        <f>IF(E39=1,1,0)</f>
        <v/>
      </c>
    </row>
    <row r="40">
      <c r="A40" s="8" t="inlineStr">
        <is>
          <t>Security</t>
        </is>
      </c>
      <c r="B40" s="8" t="inlineStr">
        <is>
          <t>Client-Side Injection</t>
        </is>
      </c>
      <c r="C40" s="8" t="inlineStr">
        <is>
          <t>SECURITY-CLIENT_INJECTION-04</t>
        </is>
      </c>
      <c r="D40" s="15" t="inlineStr">
        <is>
          <t>Example leaf 4 for Client-Side Injection (illustrative - not applicable to this site type)</t>
        </is>
      </c>
      <c r="E40" s="23" t="n">
        <v>0</v>
      </c>
      <c r="F40" s="8" t="inlineStr">
        <is>
          <t>n/a</t>
        </is>
      </c>
      <c r="G40" s="8" t="inlineStr">
        <is>
          <t>Not applicable to this site type.</t>
        </is>
      </c>
      <c r="H40" s="23" t="n">
        <v>1</v>
      </c>
      <c r="I40" s="8">
        <f>IF(E40="","",IF(E40&gt;0,"Included","Excluded (N/A)"))</f>
        <v/>
      </c>
      <c r="J40" s="8" t="inlineStr">
        <is>
          <t>Leaf</t>
        </is>
      </c>
      <c r="K40" s="8" t="n"/>
      <c r="L40" s="8" t="n"/>
      <c r="M40" s="8">
        <f>IF(E40=1,1,0)</f>
        <v/>
      </c>
    </row>
    <row r="41">
      <c r="B41" s="17" t="inlineStr">
        <is>
          <t xml:space="preserve">  -&gt; Client-Side Injection rollup</t>
        </is>
      </c>
      <c r="J41" t="inlineStr">
        <is>
          <t>Sub-audit Rollup</t>
        </is>
      </c>
      <c r="L41" s="11">
        <f>IF(SUMPRODUCT(--(E37:E40&gt;0),H37:H40)=0,"N/A",SUMPRODUCT(--(E37:E40&gt;0),E37:E40,H37:H40)/(6*SUMPRODUCT(--(E37:E40&gt;0),H37:H40)))</f>
        <v/>
      </c>
    </row>
    <row r="42">
      <c r="B42" s="3" t="inlineStr">
        <is>
          <t>Payment-Path Integrity (weight 2.8571)</t>
        </is>
      </c>
      <c r="J42" t="inlineStr">
        <is>
          <t>Sub-audit Header</t>
        </is>
      </c>
    </row>
    <row r="43">
      <c r="A43" s="8" t="inlineStr">
        <is>
          <t>Security</t>
        </is>
      </c>
      <c r="B43" s="8" t="inlineStr">
        <is>
          <t>Payment-Path Integrity</t>
        </is>
      </c>
      <c r="C43" s="8" t="inlineStr">
        <is>
          <t>SECURITY-PAYMENT_INTEGRITY-01</t>
        </is>
      </c>
      <c r="D43" s="15" t="inlineStr">
        <is>
          <t>Example leaf 1 for Payment-Path Integrity (illustrative placeholder - replaced by the real upstream Bee's finding at run time)</t>
        </is>
      </c>
      <c r="E43" s="23" t="n">
        <v>6</v>
      </c>
      <c r="F43" s="8" t="inlineStr">
        <is>
          <t>example-evidence-pointer.md#L1</t>
        </is>
      </c>
      <c r="G43" s="8" t="inlineStr">
        <is>
          <t>Illustrative justification text.</t>
        </is>
      </c>
      <c r="H43" s="23" t="n">
        <v>1</v>
      </c>
      <c r="I43" s="8">
        <f>IF(E43="","",IF(E43&gt;0,"Included","Excluded (N/A)"))</f>
        <v/>
      </c>
      <c r="J43" s="8" t="inlineStr">
        <is>
          <t>Leaf</t>
        </is>
      </c>
      <c r="K43" s="8" t="n"/>
      <c r="L43" s="8" t="n"/>
      <c r="M43" s="8">
        <f>IF(E43=1,1,0)</f>
        <v/>
      </c>
    </row>
    <row r="44">
      <c r="A44" s="8" t="inlineStr">
        <is>
          <t>Security</t>
        </is>
      </c>
      <c r="B44" s="8" t="inlineStr">
        <is>
          <t>Payment-Path Integrity</t>
        </is>
      </c>
      <c r="C44" s="8" t="inlineStr">
        <is>
          <t>SECURITY-PAYMENT_INTEGRITY-02</t>
        </is>
      </c>
      <c r="D44" s="15" t="inlineStr">
        <is>
          <t>Example leaf 2 for Payment-Path Integrity (illustrative placeholder - replaced by the real upstream Bee's finding at run time)</t>
        </is>
      </c>
      <c r="E44" s="23" t="n">
        <v>6</v>
      </c>
      <c r="F44" s="8" t="inlineStr">
        <is>
          <t>example-evidence-pointer.md#L1</t>
        </is>
      </c>
      <c r="G44" s="8" t="inlineStr">
        <is>
          <t>Illustrative justification text.</t>
        </is>
      </c>
      <c r="H44" s="23" t="n">
        <v>1</v>
      </c>
      <c r="I44" s="8">
        <f>IF(E44="","",IF(E44&gt;0,"Included","Excluded (N/A)"))</f>
        <v/>
      </c>
      <c r="J44" s="8" t="inlineStr">
        <is>
          <t>Leaf</t>
        </is>
      </c>
      <c r="K44" s="8" t="n"/>
      <c r="L44" s="8" t="n"/>
      <c r="M44" s="8">
        <f>IF(E44=1,1,0)</f>
        <v/>
      </c>
    </row>
    <row r="45">
      <c r="A45" s="8" t="inlineStr">
        <is>
          <t>Security</t>
        </is>
      </c>
      <c r="B45" s="8" t="inlineStr">
        <is>
          <t>Payment-Path Integrity</t>
        </is>
      </c>
      <c r="C45" s="8" t="inlineStr">
        <is>
          <t>SECURITY-PAYMENT_INTEGRITY-03</t>
        </is>
      </c>
      <c r="D45" s="15" t="inlineStr">
        <is>
          <t>Example leaf 3 for Payment-Path Integrity (illustrative placeholder - replaced by the real upstream Bee's finding at run time)</t>
        </is>
      </c>
      <c r="E45" s="23" t="n">
        <v>6</v>
      </c>
      <c r="F45" s="8" t="inlineStr">
        <is>
          <t>example-evidence-pointer.md#L1</t>
        </is>
      </c>
      <c r="G45" s="8" t="inlineStr">
        <is>
          <t>Illustrative justification text.</t>
        </is>
      </c>
      <c r="H45" s="23" t="n">
        <v>1</v>
      </c>
      <c r="I45" s="8">
        <f>IF(E45="","",IF(E45&gt;0,"Included","Excluded (N/A)"))</f>
        <v/>
      </c>
      <c r="J45" s="8" t="inlineStr">
        <is>
          <t>Leaf</t>
        </is>
      </c>
      <c r="K45" s="8" t="n"/>
      <c r="L45" s="8" t="n"/>
      <c r="M45" s="8">
        <f>IF(E45=1,1,0)</f>
        <v/>
      </c>
    </row>
    <row r="46">
      <c r="A46" s="8" t="inlineStr">
        <is>
          <t>Security</t>
        </is>
      </c>
      <c r="B46" s="8" t="inlineStr">
        <is>
          <t>Payment-Path Integrity</t>
        </is>
      </c>
      <c r="C46" s="8" t="inlineStr">
        <is>
          <t>SECURITY-PAYMENT_INTEGRITY-04</t>
        </is>
      </c>
      <c r="D46" s="15" t="inlineStr">
        <is>
          <t>Example leaf 4 for Payment-Path Integrity (illustrative - not applicable to this site type)</t>
        </is>
      </c>
      <c r="E46" s="23" t="n">
        <v>0</v>
      </c>
      <c r="F46" s="8" t="inlineStr">
        <is>
          <t>n/a</t>
        </is>
      </c>
      <c r="G46" s="8" t="inlineStr">
        <is>
          <t>Not applicable to this site type.</t>
        </is>
      </c>
      <c r="H46" s="23" t="n">
        <v>1</v>
      </c>
      <c r="I46" s="8">
        <f>IF(E46="","",IF(E46&gt;0,"Included","Excluded (N/A)"))</f>
        <v/>
      </c>
      <c r="J46" s="8" t="inlineStr">
        <is>
          <t>Leaf</t>
        </is>
      </c>
      <c r="K46" s="8" t="n"/>
      <c r="L46" s="8" t="n"/>
      <c r="M46" s="8">
        <f>IF(E46=1,1,0)</f>
        <v/>
      </c>
    </row>
    <row r="47">
      <c r="B47" s="17" t="inlineStr">
        <is>
          <t xml:space="preserve">  -&gt; Payment-Path Integrity rollup</t>
        </is>
      </c>
      <c r="J47" t="inlineStr">
        <is>
          <t>Sub-audit Rollup</t>
        </is>
      </c>
      <c r="L47" s="11">
        <f>IF(SUMPRODUCT(--(E43:E46&gt;0),H43:H46)=0,"N/A",SUMPRODUCT(--(E43:E46&gt;0),E43:E46,H43:H46)/(6*SUMPRODUCT(--(E43:E46&gt;0),H43:H46)))</f>
        <v/>
      </c>
    </row>
    <row r="48">
      <c r="B48" s="17" t="inlineStr">
        <is>
          <t>[mirror] Headers</t>
        </is>
      </c>
      <c r="J48" t="inlineStr">
        <is>
          <t>Sub-audit Mirror</t>
        </is>
      </c>
      <c r="L48" s="24">
        <f>L11</f>
        <v/>
      </c>
    </row>
    <row r="49">
      <c r="B49" s="17" t="inlineStr">
        <is>
          <t>[mirror] TLS</t>
        </is>
      </c>
      <c r="J49" t="inlineStr">
        <is>
          <t>Sub-audit Mirror</t>
        </is>
      </c>
      <c r="L49" s="24">
        <f>L17</f>
        <v/>
      </c>
    </row>
    <row r="50">
      <c r="B50" s="17" t="inlineStr">
        <is>
          <t>[mirror] Cookies</t>
        </is>
      </c>
      <c r="J50" t="inlineStr">
        <is>
          <t>Sub-audit Mirror</t>
        </is>
      </c>
      <c r="L50" s="24">
        <f>L23</f>
        <v/>
      </c>
    </row>
    <row r="51">
      <c r="B51" s="17" t="inlineStr">
        <is>
          <t>[mirror] Content-Security-Policy</t>
        </is>
      </c>
      <c r="J51" t="inlineStr">
        <is>
          <t>Sub-audit Mirror</t>
        </is>
      </c>
      <c r="L51" s="24">
        <f>L29</f>
        <v/>
      </c>
    </row>
    <row r="52">
      <c r="B52" s="17" t="inlineStr">
        <is>
          <t>[mirror] Platform Exposure</t>
        </is>
      </c>
      <c r="J52" t="inlineStr">
        <is>
          <t>Sub-audit Mirror</t>
        </is>
      </c>
      <c r="L52" s="24">
        <f>L35</f>
        <v/>
      </c>
    </row>
    <row r="53">
      <c r="B53" s="17" t="inlineStr">
        <is>
          <t>[mirror] Client-Side Injection</t>
        </is>
      </c>
      <c r="J53" t="inlineStr">
        <is>
          <t>Sub-audit Mirror</t>
        </is>
      </c>
      <c r="L53" s="24">
        <f>L41</f>
        <v/>
      </c>
    </row>
    <row r="54">
      <c r="B54" s="17" t="inlineStr">
        <is>
          <t>[mirror] Payment-Path Integrity</t>
        </is>
      </c>
      <c r="J54" t="inlineStr">
        <is>
          <t>Sub-audit Mirror</t>
        </is>
      </c>
      <c r="L54" s="24">
        <f>L47</f>
        <v/>
      </c>
    </row>
    <row r="55">
      <c r="A55" s="3" t="inlineStr">
        <is>
          <t>Security - CATEGORY ROLLUP</t>
        </is>
      </c>
      <c r="J55" t="inlineStr">
        <is>
          <t>Category Rollup</t>
        </is>
      </c>
      <c r="L55" s="25">
        <f>IF(SUM(SubWt_security)=0,"N/A",SUMPRODUCT(L48:L54,SubWt_security)/SUM(SubWt_security))</f>
        <v/>
      </c>
    </row>
    <row r="57">
      <c r="A57" s="18" t="inlineStr">
        <is>
          <t>Revenue Drivers</t>
        </is>
      </c>
      <c r="B57" s="21" t="n"/>
      <c r="C57" s="22" t="inlineStr">
        <is>
          <t>Weight: 18 pts  (='Rubric'!$C$18)</t>
        </is>
      </c>
      <c r="D57" s="21" t="n"/>
      <c r="E57" s="21" t="n"/>
      <c r="F57" s="21" t="n"/>
      <c r="G57" s="21" t="n"/>
      <c r="H57" s="21" t="n"/>
      <c r="I57" s="21" t="n"/>
      <c r="J57" s="21" t="inlineStr">
        <is>
          <t>Category Header</t>
        </is>
      </c>
      <c r="K57" s="21" t="n"/>
      <c r="L57" s="21" t="n"/>
      <c r="M57" s="21" t="n"/>
    </row>
    <row r="58">
      <c r="B58" s="3" t="inlineStr">
        <is>
          <t>Visual UX/UI (weight 7)</t>
        </is>
      </c>
      <c r="J58" t="inlineStr">
        <is>
          <t>Sub-audit Header</t>
        </is>
      </c>
    </row>
    <row r="59">
      <c r="A59" s="8" t="inlineStr">
        <is>
          <t>Revenue Drivers</t>
        </is>
      </c>
      <c r="B59" s="8" t="inlineStr">
        <is>
          <t>Visual UX/UI</t>
        </is>
      </c>
      <c r="C59" s="8" t="inlineStr">
        <is>
          <t>REVENUE-VISUAL_UX-01</t>
        </is>
      </c>
      <c r="D59" s="15" t="inlineStr">
        <is>
          <t>Example leaf 1 for Visual UX/UI (illustrative placeholder - replaced by the real upstream Bee's finding at run time)</t>
        </is>
      </c>
      <c r="E59" s="23" t="n">
        <v>6</v>
      </c>
      <c r="F59" s="8" t="inlineStr">
        <is>
          <t>example-evidence-pointer.md#L1</t>
        </is>
      </c>
      <c r="G59" s="8" t="inlineStr">
        <is>
          <t>Illustrative justification text.</t>
        </is>
      </c>
      <c r="H59" s="23" t="n">
        <v>1</v>
      </c>
      <c r="I59" s="8">
        <f>IF(E59="","",IF(E59&gt;0,"Included","Excluded (N/A)"))</f>
        <v/>
      </c>
      <c r="J59" s="8" t="inlineStr">
        <is>
          <t>Leaf</t>
        </is>
      </c>
      <c r="K59" s="8" t="n"/>
      <c r="L59" s="8" t="n"/>
      <c r="M59" s="8">
        <f>IF(E59=1,1,0)</f>
        <v/>
      </c>
    </row>
    <row r="60">
      <c r="A60" s="8" t="inlineStr">
        <is>
          <t>Revenue Drivers</t>
        </is>
      </c>
      <c r="B60" s="8" t="inlineStr">
        <is>
          <t>Visual UX/UI</t>
        </is>
      </c>
      <c r="C60" s="8" t="inlineStr">
        <is>
          <t>REVENUE-VISUAL_UX-02</t>
        </is>
      </c>
      <c r="D60" s="15" t="inlineStr">
        <is>
          <t>Example leaf 2 for Visual UX/UI (illustrative placeholder - replaced by the real upstream Bee's finding at run time)</t>
        </is>
      </c>
      <c r="E60" s="23" t="n">
        <v>6</v>
      </c>
      <c r="F60" s="8" t="inlineStr">
        <is>
          <t>example-evidence-pointer.md#L1</t>
        </is>
      </c>
      <c r="G60" s="8" t="inlineStr">
        <is>
          <t>Illustrative justification text.</t>
        </is>
      </c>
      <c r="H60" s="23" t="n">
        <v>1</v>
      </c>
      <c r="I60" s="8">
        <f>IF(E60="","",IF(E60&gt;0,"Included","Excluded (N/A)"))</f>
        <v/>
      </c>
      <c r="J60" s="8" t="inlineStr">
        <is>
          <t>Leaf</t>
        </is>
      </c>
      <c r="K60" s="8" t="n"/>
      <c r="L60" s="8" t="n"/>
      <c r="M60" s="8">
        <f>IF(E60=1,1,0)</f>
        <v/>
      </c>
    </row>
    <row r="61">
      <c r="A61" s="8" t="inlineStr">
        <is>
          <t>Revenue Drivers</t>
        </is>
      </c>
      <c r="B61" s="8" t="inlineStr">
        <is>
          <t>Visual UX/UI</t>
        </is>
      </c>
      <c r="C61" s="8" t="inlineStr">
        <is>
          <t>REVENUE-VISUAL_UX-03</t>
        </is>
      </c>
      <c r="D61" s="15" t="inlineStr">
        <is>
          <t>Example leaf 3 for Visual UX/UI (illustrative placeholder - replaced by the real upstream Bee's finding at run time)</t>
        </is>
      </c>
      <c r="E61" s="23" t="n">
        <v>6</v>
      </c>
      <c r="F61" s="8" t="inlineStr">
        <is>
          <t>example-evidence-pointer.md#L1</t>
        </is>
      </c>
      <c r="G61" s="8" t="inlineStr">
        <is>
          <t>Illustrative justification text.</t>
        </is>
      </c>
      <c r="H61" s="23" t="n">
        <v>1</v>
      </c>
      <c r="I61" s="8">
        <f>IF(E61="","",IF(E61&gt;0,"Included","Excluded (N/A)"))</f>
        <v/>
      </c>
      <c r="J61" s="8" t="inlineStr">
        <is>
          <t>Leaf</t>
        </is>
      </c>
      <c r="K61" s="8" t="n"/>
      <c r="L61" s="8" t="n"/>
      <c r="M61" s="8">
        <f>IF(E61=1,1,0)</f>
        <v/>
      </c>
    </row>
    <row r="62">
      <c r="A62" s="8" t="inlineStr">
        <is>
          <t>Revenue Drivers</t>
        </is>
      </c>
      <c r="B62" s="8" t="inlineStr">
        <is>
          <t>Visual UX/UI</t>
        </is>
      </c>
      <c r="C62" s="8" t="inlineStr">
        <is>
          <t>REVENUE-VISUAL_UX-04</t>
        </is>
      </c>
      <c r="D62" s="15" t="inlineStr">
        <is>
          <t>Example leaf 4 for Visual UX/UI (illustrative - not applicable to this site type)</t>
        </is>
      </c>
      <c r="E62" s="23" t="n">
        <v>0</v>
      </c>
      <c r="F62" s="8" t="inlineStr">
        <is>
          <t>n/a</t>
        </is>
      </c>
      <c r="G62" s="8" t="inlineStr">
        <is>
          <t>Not applicable to this site type.</t>
        </is>
      </c>
      <c r="H62" s="23" t="n">
        <v>1</v>
      </c>
      <c r="I62" s="8">
        <f>IF(E62="","",IF(E62&gt;0,"Included","Excluded (N/A)"))</f>
        <v/>
      </c>
      <c r="J62" s="8" t="inlineStr">
        <is>
          <t>Leaf</t>
        </is>
      </c>
      <c r="K62" s="8" t="n"/>
      <c r="L62" s="8" t="n"/>
      <c r="M62" s="8">
        <f>IF(E62=1,1,0)</f>
        <v/>
      </c>
    </row>
    <row r="63">
      <c r="B63" s="17" t="inlineStr">
        <is>
          <t xml:space="preserve">  -&gt; Visual UX/UI rollup</t>
        </is>
      </c>
      <c r="J63" t="inlineStr">
        <is>
          <t>Sub-audit Rollup</t>
        </is>
      </c>
      <c r="L63" s="11">
        <f>IF(SUMPRODUCT(--(E59:E62&gt;0),H59:H62)=0,"N/A",SUMPRODUCT(--(E59:E62&gt;0),E59:E62,H59:H62)/(6*SUMPRODUCT(--(E59:E62&gt;0),H59:H62)))</f>
        <v/>
      </c>
    </row>
    <row r="64">
      <c r="B64" s="3" t="inlineStr">
        <is>
          <t>Navigation &amp; User Journey (weight 6)</t>
        </is>
      </c>
      <c r="J64" t="inlineStr">
        <is>
          <t>Sub-audit Header</t>
        </is>
      </c>
    </row>
    <row r="65">
      <c r="A65" s="8" t="inlineStr">
        <is>
          <t>Revenue Drivers</t>
        </is>
      </c>
      <c r="B65" s="8" t="inlineStr">
        <is>
          <t>Navigation &amp; User Journey</t>
        </is>
      </c>
      <c r="C65" s="8" t="inlineStr">
        <is>
          <t>REVENUE-NAV_JOURNEY-01</t>
        </is>
      </c>
      <c r="D65" s="15" t="inlineStr">
        <is>
          <t>Example leaf 1 for Navigation &amp; User Journey (illustrative placeholder - replaced by the real upstream Bee's finding at run time)</t>
        </is>
      </c>
      <c r="E65" s="23" t="n">
        <v>6</v>
      </c>
      <c r="F65" s="8" t="inlineStr">
        <is>
          <t>example-evidence-pointer.md#L1</t>
        </is>
      </c>
      <c r="G65" s="8" t="inlineStr">
        <is>
          <t>Illustrative justification text.</t>
        </is>
      </c>
      <c r="H65" s="23" t="n">
        <v>1</v>
      </c>
      <c r="I65" s="8">
        <f>IF(E65="","",IF(E65&gt;0,"Included","Excluded (N/A)"))</f>
        <v/>
      </c>
      <c r="J65" s="8" t="inlineStr">
        <is>
          <t>Leaf</t>
        </is>
      </c>
      <c r="K65" s="8" t="n"/>
      <c r="L65" s="8" t="n"/>
      <c r="M65" s="8">
        <f>IF(E65=1,1,0)</f>
        <v/>
      </c>
    </row>
    <row r="66">
      <c r="A66" s="8" t="inlineStr">
        <is>
          <t>Revenue Drivers</t>
        </is>
      </c>
      <c r="B66" s="8" t="inlineStr">
        <is>
          <t>Navigation &amp; User Journey</t>
        </is>
      </c>
      <c r="C66" s="8" t="inlineStr">
        <is>
          <t>REVENUE-NAV_JOURNEY-02</t>
        </is>
      </c>
      <c r="D66" s="15" t="inlineStr">
        <is>
          <t>Example leaf 2 for Navigation &amp; User Journey (illustrative placeholder - replaced by the real upstream Bee's finding at run time)</t>
        </is>
      </c>
      <c r="E66" s="23" t="n">
        <v>6</v>
      </c>
      <c r="F66" s="8" t="inlineStr">
        <is>
          <t>example-evidence-pointer.md#L1</t>
        </is>
      </c>
      <c r="G66" s="8" t="inlineStr">
        <is>
          <t>Illustrative justification text.</t>
        </is>
      </c>
      <c r="H66" s="23" t="n">
        <v>1</v>
      </c>
      <c r="I66" s="8">
        <f>IF(E66="","",IF(E66&gt;0,"Included","Excluded (N/A)"))</f>
        <v/>
      </c>
      <c r="J66" s="8" t="inlineStr">
        <is>
          <t>Leaf</t>
        </is>
      </c>
      <c r="K66" s="8" t="n"/>
      <c r="L66" s="8" t="n"/>
      <c r="M66" s="8">
        <f>IF(E66=1,1,0)</f>
        <v/>
      </c>
    </row>
    <row r="67">
      <c r="A67" s="8" t="inlineStr">
        <is>
          <t>Revenue Drivers</t>
        </is>
      </c>
      <c r="B67" s="8" t="inlineStr">
        <is>
          <t>Navigation &amp; User Journey</t>
        </is>
      </c>
      <c r="C67" s="8" t="inlineStr">
        <is>
          <t>REVENUE-NAV_JOURNEY-03</t>
        </is>
      </c>
      <c r="D67" s="15" t="inlineStr">
        <is>
          <t>Example leaf 3 for Navigation &amp; User Journey (illustrative placeholder - replaced by the real upstream Bee's finding at run time)</t>
        </is>
      </c>
      <c r="E67" s="23" t="n">
        <v>6</v>
      </c>
      <c r="F67" s="8" t="inlineStr">
        <is>
          <t>example-evidence-pointer.md#L1</t>
        </is>
      </c>
      <c r="G67" s="8" t="inlineStr">
        <is>
          <t>Illustrative justification text.</t>
        </is>
      </c>
      <c r="H67" s="23" t="n">
        <v>1</v>
      </c>
      <c r="I67" s="8">
        <f>IF(E67="","",IF(E67&gt;0,"Included","Excluded (N/A)"))</f>
        <v/>
      </c>
      <c r="J67" s="8" t="inlineStr">
        <is>
          <t>Leaf</t>
        </is>
      </c>
      <c r="K67" s="8" t="n"/>
      <c r="L67" s="8" t="n"/>
      <c r="M67" s="8">
        <f>IF(E67=1,1,0)</f>
        <v/>
      </c>
    </row>
    <row r="68">
      <c r="A68" s="8" t="inlineStr">
        <is>
          <t>Revenue Drivers</t>
        </is>
      </c>
      <c r="B68" s="8" t="inlineStr">
        <is>
          <t>Navigation &amp; User Journey</t>
        </is>
      </c>
      <c r="C68" s="8" t="inlineStr">
        <is>
          <t>REVENUE-NAV_JOURNEY-04</t>
        </is>
      </c>
      <c r="D68" s="15" t="inlineStr">
        <is>
          <t>Example leaf 4 for Navigation &amp; User Journey (illustrative - not applicable to this site type)</t>
        </is>
      </c>
      <c r="E68" s="23" t="n">
        <v>0</v>
      </c>
      <c r="F68" s="8" t="inlineStr">
        <is>
          <t>n/a</t>
        </is>
      </c>
      <c r="G68" s="8" t="inlineStr">
        <is>
          <t>Not applicable to this site type.</t>
        </is>
      </c>
      <c r="H68" s="23" t="n">
        <v>1</v>
      </c>
      <c r="I68" s="8">
        <f>IF(E68="","",IF(E68&gt;0,"Included","Excluded (N/A)"))</f>
        <v/>
      </c>
      <c r="J68" s="8" t="inlineStr">
        <is>
          <t>Leaf</t>
        </is>
      </c>
      <c r="K68" s="8" t="n"/>
      <c r="L68" s="8" t="n"/>
      <c r="M68" s="8">
        <f>IF(E68=1,1,0)</f>
        <v/>
      </c>
    </row>
    <row r="69">
      <c r="B69" s="17" t="inlineStr">
        <is>
          <t xml:space="preserve">  -&gt; Navigation &amp; User Journey rollup</t>
        </is>
      </c>
      <c r="J69" t="inlineStr">
        <is>
          <t>Sub-audit Rollup</t>
        </is>
      </c>
      <c r="L69" s="11">
        <f>IF(SUMPRODUCT(--(E65:E68&gt;0),H65:H68)=0,"N/A",SUMPRODUCT(--(E65:E68&gt;0),E65:E68,H65:H68)/(6*SUMPRODUCT(--(E65:E68&gt;0),H65:H68)))</f>
        <v/>
      </c>
    </row>
    <row r="70">
      <c r="B70" s="3" t="inlineStr">
        <is>
          <t>On-Page Copy (weight 5)</t>
        </is>
      </c>
      <c r="J70" t="inlineStr">
        <is>
          <t>Sub-audit Header</t>
        </is>
      </c>
    </row>
    <row r="71">
      <c r="A71" s="8" t="inlineStr">
        <is>
          <t>Revenue Drivers</t>
        </is>
      </c>
      <c r="B71" s="8" t="inlineStr">
        <is>
          <t>On-Page Copy</t>
        </is>
      </c>
      <c r="C71" s="8" t="inlineStr">
        <is>
          <t>REVENUE-ONPAGE_COPY-01</t>
        </is>
      </c>
      <c r="D71" s="15" t="inlineStr">
        <is>
          <t>Example leaf 1 for On-Page Copy (illustrative placeholder - replaced by the real upstream Bee's finding at run time)</t>
        </is>
      </c>
      <c r="E71" s="23" t="n">
        <v>6</v>
      </c>
      <c r="F71" s="8" t="inlineStr">
        <is>
          <t>example-evidence-pointer.md#L1</t>
        </is>
      </c>
      <c r="G71" s="8" t="inlineStr">
        <is>
          <t>Illustrative justification text.</t>
        </is>
      </c>
      <c r="H71" s="23" t="n">
        <v>1</v>
      </c>
      <c r="I71" s="8">
        <f>IF(E71="","",IF(E71&gt;0,"Included","Excluded (N/A)"))</f>
        <v/>
      </c>
      <c r="J71" s="8" t="inlineStr">
        <is>
          <t>Leaf</t>
        </is>
      </c>
      <c r="K71" s="8" t="n"/>
      <c r="L71" s="8" t="n"/>
      <c r="M71" s="8">
        <f>IF(E71=1,1,0)</f>
        <v/>
      </c>
    </row>
    <row r="72">
      <c r="A72" s="8" t="inlineStr">
        <is>
          <t>Revenue Drivers</t>
        </is>
      </c>
      <c r="B72" s="8" t="inlineStr">
        <is>
          <t>On-Page Copy</t>
        </is>
      </c>
      <c r="C72" s="8" t="inlineStr">
        <is>
          <t>REVENUE-ONPAGE_COPY-02</t>
        </is>
      </c>
      <c r="D72" s="15" t="inlineStr">
        <is>
          <t>Example leaf 2 for On-Page Copy (illustrative placeholder - replaced by the real upstream Bee's finding at run time)</t>
        </is>
      </c>
      <c r="E72" s="23" t="n">
        <v>6</v>
      </c>
      <c r="F72" s="8" t="inlineStr">
        <is>
          <t>example-evidence-pointer.md#L1</t>
        </is>
      </c>
      <c r="G72" s="8" t="inlineStr">
        <is>
          <t>Illustrative justification text.</t>
        </is>
      </c>
      <c r="H72" s="23" t="n">
        <v>1</v>
      </c>
      <c r="I72" s="8">
        <f>IF(E72="","",IF(E72&gt;0,"Included","Excluded (N/A)"))</f>
        <v/>
      </c>
      <c r="J72" s="8" t="inlineStr">
        <is>
          <t>Leaf</t>
        </is>
      </c>
      <c r="K72" s="8" t="n"/>
      <c r="L72" s="8" t="n"/>
      <c r="M72" s="8">
        <f>IF(E72=1,1,0)</f>
        <v/>
      </c>
    </row>
    <row r="73">
      <c r="A73" s="8" t="inlineStr">
        <is>
          <t>Revenue Drivers</t>
        </is>
      </c>
      <c r="B73" s="8" t="inlineStr">
        <is>
          <t>On-Page Copy</t>
        </is>
      </c>
      <c r="C73" s="8" t="inlineStr">
        <is>
          <t>REVENUE-ONPAGE_COPY-03</t>
        </is>
      </c>
      <c r="D73" s="15" t="inlineStr">
        <is>
          <t>Example leaf 3 for On-Page Copy (illustrative placeholder - replaced by the real upstream Bee's finding at run time)</t>
        </is>
      </c>
      <c r="E73" s="23" t="n">
        <v>6</v>
      </c>
      <c r="F73" s="8" t="inlineStr">
        <is>
          <t>example-evidence-pointer.md#L1</t>
        </is>
      </c>
      <c r="G73" s="8" t="inlineStr">
        <is>
          <t>Illustrative justification text.</t>
        </is>
      </c>
      <c r="H73" s="23" t="n">
        <v>1</v>
      </c>
      <c r="I73" s="8">
        <f>IF(E73="","",IF(E73&gt;0,"Included","Excluded (N/A)"))</f>
        <v/>
      </c>
      <c r="J73" s="8" t="inlineStr">
        <is>
          <t>Leaf</t>
        </is>
      </c>
      <c r="K73" s="8" t="n"/>
      <c r="L73" s="8" t="n"/>
      <c r="M73" s="8">
        <f>IF(E73=1,1,0)</f>
        <v/>
      </c>
    </row>
    <row r="74">
      <c r="A74" s="8" t="inlineStr">
        <is>
          <t>Revenue Drivers</t>
        </is>
      </c>
      <c r="B74" s="8" t="inlineStr">
        <is>
          <t>On-Page Copy</t>
        </is>
      </c>
      <c r="C74" s="8" t="inlineStr">
        <is>
          <t>REVENUE-ONPAGE_COPY-04</t>
        </is>
      </c>
      <c r="D74" s="15" t="inlineStr">
        <is>
          <t>Example leaf 4 for On-Page Copy (illustrative - not applicable to this site type)</t>
        </is>
      </c>
      <c r="E74" s="23" t="n">
        <v>0</v>
      </c>
      <c r="F74" s="8" t="inlineStr">
        <is>
          <t>n/a</t>
        </is>
      </c>
      <c r="G74" s="8" t="inlineStr">
        <is>
          <t>Not applicable to this site type.</t>
        </is>
      </c>
      <c r="H74" s="23" t="n">
        <v>1</v>
      </c>
      <c r="I74" s="8">
        <f>IF(E74="","",IF(E74&gt;0,"Included","Excluded (N/A)"))</f>
        <v/>
      </c>
      <c r="J74" s="8" t="inlineStr">
        <is>
          <t>Leaf</t>
        </is>
      </c>
      <c r="K74" s="8" t="n"/>
      <c r="L74" s="8" t="n"/>
      <c r="M74" s="8">
        <f>IF(E74=1,1,0)</f>
        <v/>
      </c>
    </row>
    <row r="75">
      <c r="B75" s="17" t="inlineStr">
        <is>
          <t xml:space="preserve">  -&gt; On-Page Copy rollup</t>
        </is>
      </c>
      <c r="J75" t="inlineStr">
        <is>
          <t>Sub-audit Rollup</t>
        </is>
      </c>
      <c r="L75" s="11">
        <f>IF(SUMPRODUCT(--(E71:E74&gt;0),H71:H74)=0,"N/A",SUMPRODUCT(--(E71:E74&gt;0),E71:E74,H71:H74)/(6*SUMPRODUCT(--(E71:E74&gt;0),H71:H74)))</f>
        <v/>
      </c>
    </row>
    <row r="76">
      <c r="B76" s="17" t="inlineStr">
        <is>
          <t>[mirror] Visual UX/UI</t>
        </is>
      </c>
      <c r="J76" t="inlineStr">
        <is>
          <t>Sub-audit Mirror</t>
        </is>
      </c>
      <c r="L76" s="24">
        <f>L63</f>
        <v/>
      </c>
    </row>
    <row r="77">
      <c r="B77" s="17" t="inlineStr">
        <is>
          <t>[mirror] Navigation &amp; User Journey</t>
        </is>
      </c>
      <c r="J77" t="inlineStr">
        <is>
          <t>Sub-audit Mirror</t>
        </is>
      </c>
      <c r="L77" s="24">
        <f>L69</f>
        <v/>
      </c>
    </row>
    <row r="78">
      <c r="B78" s="17" t="inlineStr">
        <is>
          <t>[mirror] On-Page Copy</t>
        </is>
      </c>
      <c r="J78" t="inlineStr">
        <is>
          <t>Sub-audit Mirror</t>
        </is>
      </c>
      <c r="L78" s="24">
        <f>L75</f>
        <v/>
      </c>
    </row>
    <row r="79">
      <c r="A79" s="3" t="inlineStr">
        <is>
          <t>Revenue Drivers - CATEGORY ROLLUP</t>
        </is>
      </c>
      <c r="J79" t="inlineStr">
        <is>
          <t>Category Rollup</t>
        </is>
      </c>
      <c r="L79" s="25">
        <f>IF(SUM(SubWt_revenue)=0,"N/A",SUMPRODUCT(L76:L78,SubWt_revenue)/SUM(SubWt_revenue))</f>
        <v/>
      </c>
    </row>
    <row r="81">
      <c r="A81" s="18" t="inlineStr">
        <is>
          <t>Mission Critical</t>
        </is>
      </c>
      <c r="B81" s="21" t="n"/>
      <c r="C81" s="22" t="inlineStr">
        <is>
          <t>Weight: 14 pts  (='Rubric'!$C$19)</t>
        </is>
      </c>
      <c r="D81" s="21" t="n"/>
      <c r="E81" s="21" t="n"/>
      <c r="F81" s="21" t="n"/>
      <c r="G81" s="21" t="n"/>
      <c r="H81" s="21" t="n"/>
      <c r="I81" s="21" t="n"/>
      <c r="J81" s="21" t="inlineStr">
        <is>
          <t>Category Header</t>
        </is>
      </c>
      <c r="K81" s="21" t="n"/>
      <c r="L81" s="21" t="n"/>
      <c r="M81" s="21" t="n"/>
    </row>
    <row r="82">
      <c r="B82" s="3" t="inlineStr">
        <is>
          <t>Primary Conversion Path Integrity (weight 4.6667)</t>
        </is>
      </c>
      <c r="J82" t="inlineStr">
        <is>
          <t>Sub-audit Header</t>
        </is>
      </c>
    </row>
    <row r="83">
      <c r="A83" s="8" t="inlineStr">
        <is>
          <t>Mission Critical</t>
        </is>
      </c>
      <c r="B83" s="8" t="inlineStr">
        <is>
          <t>Primary Conversion Path Integrity</t>
        </is>
      </c>
      <c r="C83" s="8" t="inlineStr">
        <is>
          <t>MISSION-CONVERSION_PATH-01</t>
        </is>
      </c>
      <c r="D83" s="15" t="inlineStr">
        <is>
          <t>Example leaf 1 for Primary Conversion Path Integrity (illustrative placeholder - replaced by the real upstream Bee's finding at run time)</t>
        </is>
      </c>
      <c r="E83" s="23" t="n">
        <v>6</v>
      </c>
      <c r="F83" s="8" t="inlineStr">
        <is>
          <t>example-evidence-pointer.md#L1</t>
        </is>
      </c>
      <c r="G83" s="8" t="inlineStr">
        <is>
          <t>Illustrative justification text.</t>
        </is>
      </c>
      <c r="H83" s="23" t="n">
        <v>1</v>
      </c>
      <c r="I83" s="8">
        <f>IF(E83="","",IF(E83&gt;0,"Included","Excluded (N/A)"))</f>
        <v/>
      </c>
      <c r="J83" s="8" t="inlineStr">
        <is>
          <t>Leaf</t>
        </is>
      </c>
      <c r="K83" s="8" t="n"/>
      <c r="L83" s="8" t="n"/>
      <c r="M83" s="8">
        <f>IF(E83=1,1,0)</f>
        <v/>
      </c>
    </row>
    <row r="84">
      <c r="A84" s="8" t="inlineStr">
        <is>
          <t>Mission Critical</t>
        </is>
      </c>
      <c r="B84" s="8" t="inlineStr">
        <is>
          <t>Primary Conversion Path Integrity</t>
        </is>
      </c>
      <c r="C84" s="8" t="inlineStr">
        <is>
          <t>MISSION-CONVERSION_PATH-02</t>
        </is>
      </c>
      <c r="D84" s="15" t="inlineStr">
        <is>
          <t>Example leaf 2 for Primary Conversion Path Integrity (illustrative placeholder - replaced by the real upstream Bee's finding at run time)</t>
        </is>
      </c>
      <c r="E84" s="23" t="n">
        <v>6</v>
      </c>
      <c r="F84" s="8" t="inlineStr">
        <is>
          <t>example-evidence-pointer.md#L1</t>
        </is>
      </c>
      <c r="G84" s="8" t="inlineStr">
        <is>
          <t>Illustrative justification text.</t>
        </is>
      </c>
      <c r="H84" s="23" t="n">
        <v>1</v>
      </c>
      <c r="I84" s="8">
        <f>IF(E84="","",IF(E84&gt;0,"Included","Excluded (N/A)"))</f>
        <v/>
      </c>
      <c r="J84" s="8" t="inlineStr">
        <is>
          <t>Leaf</t>
        </is>
      </c>
      <c r="K84" s="8" t="n"/>
      <c r="L84" s="8" t="n"/>
      <c r="M84" s="8">
        <f>IF(E84=1,1,0)</f>
        <v/>
      </c>
    </row>
    <row r="85">
      <c r="A85" s="8" t="inlineStr">
        <is>
          <t>Mission Critical</t>
        </is>
      </c>
      <c r="B85" s="8" t="inlineStr">
        <is>
          <t>Primary Conversion Path Integrity</t>
        </is>
      </c>
      <c r="C85" s="8" t="inlineStr">
        <is>
          <t>MISSION-CONVERSION_PATH-03</t>
        </is>
      </c>
      <c r="D85" s="15" t="inlineStr">
        <is>
          <t>Example leaf 3 for Primary Conversion Path Integrity (illustrative placeholder - replaced by the real upstream Bee's finding at run time)</t>
        </is>
      </c>
      <c r="E85" s="23" t="n">
        <v>6</v>
      </c>
      <c r="F85" s="8" t="inlineStr">
        <is>
          <t>example-evidence-pointer.md#L1</t>
        </is>
      </c>
      <c r="G85" s="8" t="inlineStr">
        <is>
          <t>Illustrative justification text.</t>
        </is>
      </c>
      <c r="H85" s="23" t="n">
        <v>1</v>
      </c>
      <c r="I85" s="8">
        <f>IF(E85="","",IF(E85&gt;0,"Included","Excluded (N/A)"))</f>
        <v/>
      </c>
      <c r="J85" s="8" t="inlineStr">
        <is>
          <t>Leaf</t>
        </is>
      </c>
      <c r="K85" s="8" t="n"/>
      <c r="L85" s="8" t="n"/>
      <c r="M85" s="8">
        <f>IF(E85=1,1,0)</f>
        <v/>
      </c>
    </row>
    <row r="86">
      <c r="A86" s="8" t="inlineStr">
        <is>
          <t>Mission Critical</t>
        </is>
      </c>
      <c r="B86" s="8" t="inlineStr">
        <is>
          <t>Primary Conversion Path Integrity</t>
        </is>
      </c>
      <c r="C86" s="8" t="inlineStr">
        <is>
          <t>MISSION-CONVERSION_PATH-04</t>
        </is>
      </c>
      <c r="D86" s="15" t="inlineStr">
        <is>
          <t>Example leaf 4 for Primary Conversion Path Integrity (illustrative - not applicable to this site type)</t>
        </is>
      </c>
      <c r="E86" s="23" t="n">
        <v>0</v>
      </c>
      <c r="F86" s="8" t="inlineStr">
        <is>
          <t>n/a</t>
        </is>
      </c>
      <c r="G86" s="8" t="inlineStr">
        <is>
          <t>Not applicable to this site type.</t>
        </is>
      </c>
      <c r="H86" s="23" t="n">
        <v>1</v>
      </c>
      <c r="I86" s="8">
        <f>IF(E86="","",IF(E86&gt;0,"Included","Excluded (N/A)"))</f>
        <v/>
      </c>
      <c r="J86" s="8" t="inlineStr">
        <is>
          <t>Leaf</t>
        </is>
      </c>
      <c r="K86" s="8" t="n"/>
      <c r="L86" s="8" t="n"/>
      <c r="M86" s="8">
        <f>IF(E86=1,1,0)</f>
        <v/>
      </c>
    </row>
    <row r="87">
      <c r="B87" s="17" t="inlineStr">
        <is>
          <t xml:space="preserve">  -&gt; Primary Conversion Path Integrity rollup</t>
        </is>
      </c>
      <c r="J87" t="inlineStr">
        <is>
          <t>Sub-audit Rollup</t>
        </is>
      </c>
      <c r="L87" s="11">
        <f>IF(SUMPRODUCT(--(E83:E86&gt;0),H83:H86)=0,"N/A",SUMPRODUCT(--(E83:E86&gt;0),E83:E86,H83:H86)/(6*SUMPRODUCT(--(E83:E86&gt;0),H83:H86)))</f>
        <v/>
      </c>
    </row>
    <row r="88">
      <c r="B88" s="3" t="inlineStr">
        <is>
          <t>Core Function Reliability (weight 4.6667)</t>
        </is>
      </c>
      <c r="J88" t="inlineStr">
        <is>
          <t>Sub-audit Header</t>
        </is>
      </c>
    </row>
    <row r="89">
      <c r="A89" s="8" t="inlineStr">
        <is>
          <t>Mission Critical</t>
        </is>
      </c>
      <c r="B89" s="8" t="inlineStr">
        <is>
          <t>Core Function Reliability</t>
        </is>
      </c>
      <c r="C89" s="8" t="inlineStr">
        <is>
          <t>MISSION-CORE_RELIABILITY-01</t>
        </is>
      </c>
      <c r="D89" s="15" t="inlineStr">
        <is>
          <t>Example leaf 1 for Core Function Reliability (illustrative placeholder - replaced by the real upstream Bee's finding at run time)</t>
        </is>
      </c>
      <c r="E89" s="23" t="n">
        <v>6</v>
      </c>
      <c r="F89" s="8" t="inlineStr">
        <is>
          <t>example-evidence-pointer.md#L1</t>
        </is>
      </c>
      <c r="G89" s="8" t="inlineStr">
        <is>
          <t>Illustrative justification text.</t>
        </is>
      </c>
      <c r="H89" s="23" t="n">
        <v>1</v>
      </c>
      <c r="I89" s="8">
        <f>IF(E89="","",IF(E89&gt;0,"Included","Excluded (N/A)"))</f>
        <v/>
      </c>
      <c r="J89" s="8" t="inlineStr">
        <is>
          <t>Leaf</t>
        </is>
      </c>
      <c r="K89" s="8" t="n"/>
      <c r="L89" s="8" t="n"/>
      <c r="M89" s="8">
        <f>IF(E89=1,1,0)</f>
        <v/>
      </c>
    </row>
    <row r="90">
      <c r="A90" s="8" t="inlineStr">
        <is>
          <t>Mission Critical</t>
        </is>
      </c>
      <c r="B90" s="8" t="inlineStr">
        <is>
          <t>Core Function Reliability</t>
        </is>
      </c>
      <c r="C90" s="8" t="inlineStr">
        <is>
          <t>MISSION-CORE_RELIABILITY-02</t>
        </is>
      </c>
      <c r="D90" s="15" t="inlineStr">
        <is>
          <t>Example leaf 2 for Core Function Reliability (illustrative placeholder - replaced by the real upstream Bee's finding at run time)</t>
        </is>
      </c>
      <c r="E90" s="23" t="n">
        <v>6</v>
      </c>
      <c r="F90" s="8" t="inlineStr">
        <is>
          <t>example-evidence-pointer.md#L1</t>
        </is>
      </c>
      <c r="G90" s="8" t="inlineStr">
        <is>
          <t>Illustrative justification text.</t>
        </is>
      </c>
      <c r="H90" s="23" t="n">
        <v>1</v>
      </c>
      <c r="I90" s="8">
        <f>IF(E90="","",IF(E90&gt;0,"Included","Excluded (N/A)"))</f>
        <v/>
      </c>
      <c r="J90" s="8" t="inlineStr">
        <is>
          <t>Leaf</t>
        </is>
      </c>
      <c r="K90" s="8" t="n"/>
      <c r="L90" s="8" t="n"/>
      <c r="M90" s="8">
        <f>IF(E90=1,1,0)</f>
        <v/>
      </c>
    </row>
    <row r="91">
      <c r="A91" s="8" t="inlineStr">
        <is>
          <t>Mission Critical</t>
        </is>
      </c>
      <c r="B91" s="8" t="inlineStr">
        <is>
          <t>Core Function Reliability</t>
        </is>
      </c>
      <c r="C91" s="8" t="inlineStr">
        <is>
          <t>MISSION-CORE_RELIABILITY-03</t>
        </is>
      </c>
      <c r="D91" s="15" t="inlineStr">
        <is>
          <t>Example leaf 3 for Core Function Reliability (illustrative placeholder - replaced by the real upstream Bee's finding at run time)</t>
        </is>
      </c>
      <c r="E91" s="23" t="n">
        <v>6</v>
      </c>
      <c r="F91" s="8" t="inlineStr">
        <is>
          <t>example-evidence-pointer.md#L1</t>
        </is>
      </c>
      <c r="G91" s="8" t="inlineStr">
        <is>
          <t>Illustrative justification text.</t>
        </is>
      </c>
      <c r="H91" s="23" t="n">
        <v>1</v>
      </c>
      <c r="I91" s="8">
        <f>IF(E91="","",IF(E91&gt;0,"Included","Excluded (N/A)"))</f>
        <v/>
      </c>
      <c r="J91" s="8" t="inlineStr">
        <is>
          <t>Leaf</t>
        </is>
      </c>
      <c r="K91" s="8" t="n"/>
      <c r="L91" s="8" t="n"/>
      <c r="M91" s="8">
        <f>IF(E91=1,1,0)</f>
        <v/>
      </c>
    </row>
    <row r="92">
      <c r="A92" s="8" t="inlineStr">
        <is>
          <t>Mission Critical</t>
        </is>
      </c>
      <c r="B92" s="8" t="inlineStr">
        <is>
          <t>Core Function Reliability</t>
        </is>
      </c>
      <c r="C92" s="8" t="inlineStr">
        <is>
          <t>MISSION-CORE_RELIABILITY-04</t>
        </is>
      </c>
      <c r="D92" s="15" t="inlineStr">
        <is>
          <t>Example leaf 4 for Core Function Reliability (illustrative - not applicable to this site type)</t>
        </is>
      </c>
      <c r="E92" s="23" t="n">
        <v>0</v>
      </c>
      <c r="F92" s="8" t="inlineStr">
        <is>
          <t>n/a</t>
        </is>
      </c>
      <c r="G92" s="8" t="inlineStr">
        <is>
          <t>Not applicable to this site type.</t>
        </is>
      </c>
      <c r="H92" s="23" t="n">
        <v>1</v>
      </c>
      <c r="I92" s="8">
        <f>IF(E92="","",IF(E92&gt;0,"Included","Excluded (N/A)"))</f>
        <v/>
      </c>
      <c r="J92" s="8" t="inlineStr">
        <is>
          <t>Leaf</t>
        </is>
      </c>
      <c r="K92" s="8" t="n"/>
      <c r="L92" s="8" t="n"/>
      <c r="M92" s="8">
        <f>IF(E92=1,1,0)</f>
        <v/>
      </c>
    </row>
    <row r="93">
      <c r="B93" s="17" t="inlineStr">
        <is>
          <t xml:space="preserve">  -&gt; Core Function Reliability rollup</t>
        </is>
      </c>
      <c r="J93" t="inlineStr">
        <is>
          <t>Sub-audit Rollup</t>
        </is>
      </c>
      <c r="L93" s="11">
        <f>IF(SUMPRODUCT(--(E89:E92&gt;0),H89:H92)=0,"N/A",SUMPRODUCT(--(E89:E92&gt;0),E89:E92,H89:H92)/(6*SUMPRODUCT(--(E89:E92&gt;0),H89:H92)))</f>
        <v/>
      </c>
    </row>
    <row r="94">
      <c r="B94" s="3" t="inlineStr">
        <is>
          <t>Trust &amp; Credibility Signals (weight 4.6667)</t>
        </is>
      </c>
      <c r="J94" t="inlineStr">
        <is>
          <t>Sub-audit Header</t>
        </is>
      </c>
    </row>
    <row r="95">
      <c r="A95" s="8" t="inlineStr">
        <is>
          <t>Mission Critical</t>
        </is>
      </c>
      <c r="B95" s="8" t="inlineStr">
        <is>
          <t>Trust &amp; Credibility Signals</t>
        </is>
      </c>
      <c r="C95" s="8" t="inlineStr">
        <is>
          <t>MISSION-TRUST_SIGNALS-01</t>
        </is>
      </c>
      <c r="D95" s="15" t="inlineStr">
        <is>
          <t>Example leaf 1 for Trust &amp; Credibility Signals (illustrative placeholder - replaced by the real upstream Bee's finding at run time)</t>
        </is>
      </c>
      <c r="E95" s="23" t="n">
        <v>6</v>
      </c>
      <c r="F95" s="8" t="inlineStr">
        <is>
          <t>example-evidence-pointer.md#L1</t>
        </is>
      </c>
      <c r="G95" s="8" t="inlineStr">
        <is>
          <t>Illustrative justification text.</t>
        </is>
      </c>
      <c r="H95" s="23" t="n">
        <v>1</v>
      </c>
      <c r="I95" s="8">
        <f>IF(E95="","",IF(E95&gt;0,"Included","Excluded (N/A)"))</f>
        <v/>
      </c>
      <c r="J95" s="8" t="inlineStr">
        <is>
          <t>Leaf</t>
        </is>
      </c>
      <c r="K95" s="8" t="n"/>
      <c r="L95" s="8" t="n"/>
      <c r="M95" s="8">
        <f>IF(E95=1,1,0)</f>
        <v/>
      </c>
    </row>
    <row r="96">
      <c r="A96" s="8" t="inlineStr">
        <is>
          <t>Mission Critical</t>
        </is>
      </c>
      <c r="B96" s="8" t="inlineStr">
        <is>
          <t>Trust &amp; Credibility Signals</t>
        </is>
      </c>
      <c r="C96" s="8" t="inlineStr">
        <is>
          <t>MISSION-TRUST_SIGNALS-02</t>
        </is>
      </c>
      <c r="D96" s="15" t="inlineStr">
        <is>
          <t>Example leaf 2 for Trust &amp; Credibility Signals (illustrative placeholder - replaced by the real upstream Bee's finding at run time)</t>
        </is>
      </c>
      <c r="E96" s="23" t="n">
        <v>6</v>
      </c>
      <c r="F96" s="8" t="inlineStr">
        <is>
          <t>example-evidence-pointer.md#L1</t>
        </is>
      </c>
      <c r="G96" s="8" t="inlineStr">
        <is>
          <t>Illustrative justification text.</t>
        </is>
      </c>
      <c r="H96" s="23" t="n">
        <v>1</v>
      </c>
      <c r="I96" s="8">
        <f>IF(E96="","",IF(E96&gt;0,"Included","Excluded (N/A)"))</f>
        <v/>
      </c>
      <c r="J96" s="8" t="inlineStr">
        <is>
          <t>Leaf</t>
        </is>
      </c>
      <c r="K96" s="8" t="n"/>
      <c r="L96" s="8" t="n"/>
      <c r="M96" s="8">
        <f>IF(E96=1,1,0)</f>
        <v/>
      </c>
    </row>
    <row r="97">
      <c r="A97" s="8" t="inlineStr">
        <is>
          <t>Mission Critical</t>
        </is>
      </c>
      <c r="B97" s="8" t="inlineStr">
        <is>
          <t>Trust &amp; Credibility Signals</t>
        </is>
      </c>
      <c r="C97" s="8" t="inlineStr">
        <is>
          <t>MISSION-TRUST_SIGNALS-03</t>
        </is>
      </c>
      <c r="D97" s="15" t="inlineStr">
        <is>
          <t>Example leaf 3 for Trust &amp; Credibility Signals (illustrative placeholder - replaced by the real upstream Bee's finding at run time)</t>
        </is>
      </c>
      <c r="E97" s="23" t="n">
        <v>6</v>
      </c>
      <c r="F97" s="8" t="inlineStr">
        <is>
          <t>example-evidence-pointer.md#L1</t>
        </is>
      </c>
      <c r="G97" s="8" t="inlineStr">
        <is>
          <t>Illustrative justification text.</t>
        </is>
      </c>
      <c r="H97" s="23" t="n">
        <v>1</v>
      </c>
      <c r="I97" s="8">
        <f>IF(E97="","",IF(E97&gt;0,"Included","Excluded (N/A)"))</f>
        <v/>
      </c>
      <c r="J97" s="8" t="inlineStr">
        <is>
          <t>Leaf</t>
        </is>
      </c>
      <c r="K97" s="8" t="n"/>
      <c r="L97" s="8" t="n"/>
      <c r="M97" s="8">
        <f>IF(E97=1,1,0)</f>
        <v/>
      </c>
    </row>
    <row r="98">
      <c r="A98" s="8" t="inlineStr">
        <is>
          <t>Mission Critical</t>
        </is>
      </c>
      <c r="B98" s="8" t="inlineStr">
        <is>
          <t>Trust &amp; Credibility Signals</t>
        </is>
      </c>
      <c r="C98" s="8" t="inlineStr">
        <is>
          <t>MISSION-TRUST_SIGNALS-04</t>
        </is>
      </c>
      <c r="D98" s="15" t="inlineStr">
        <is>
          <t>Example leaf 4 for Trust &amp; Credibility Signals (illustrative - not applicable to this site type)</t>
        </is>
      </c>
      <c r="E98" s="23" t="n">
        <v>0</v>
      </c>
      <c r="F98" s="8" t="inlineStr">
        <is>
          <t>n/a</t>
        </is>
      </c>
      <c r="G98" s="8" t="inlineStr">
        <is>
          <t>Not applicable to this site type.</t>
        </is>
      </c>
      <c r="H98" s="23" t="n">
        <v>1</v>
      </c>
      <c r="I98" s="8">
        <f>IF(E98="","",IF(E98&gt;0,"Included","Excluded (N/A)"))</f>
        <v/>
      </c>
      <c r="J98" s="8" t="inlineStr">
        <is>
          <t>Leaf</t>
        </is>
      </c>
      <c r="K98" s="8" t="n"/>
      <c r="L98" s="8" t="n"/>
      <c r="M98" s="8">
        <f>IF(E98=1,1,0)</f>
        <v/>
      </c>
    </row>
    <row r="99">
      <c r="B99" s="17" t="inlineStr">
        <is>
          <t xml:space="preserve">  -&gt; Trust &amp; Credibility Signals rollup</t>
        </is>
      </c>
      <c r="J99" t="inlineStr">
        <is>
          <t>Sub-audit Rollup</t>
        </is>
      </c>
      <c r="L99" s="11">
        <f>IF(SUMPRODUCT(--(E95:E98&gt;0),H95:H98)=0,"N/A",SUMPRODUCT(--(E95:E98&gt;0),E95:E98,H95:H98)/(6*SUMPRODUCT(--(E95:E98&gt;0),H95:H98)))</f>
        <v/>
      </c>
    </row>
    <row r="100">
      <c r="B100" s="17" t="inlineStr">
        <is>
          <t>[mirror] Primary Conversion Path Integrity</t>
        </is>
      </c>
      <c r="J100" t="inlineStr">
        <is>
          <t>Sub-audit Mirror</t>
        </is>
      </c>
      <c r="L100" s="24">
        <f>L87</f>
        <v/>
      </c>
    </row>
    <row r="101">
      <c r="B101" s="17" t="inlineStr">
        <is>
          <t>[mirror] Core Function Reliability</t>
        </is>
      </c>
      <c r="J101" t="inlineStr">
        <is>
          <t>Sub-audit Mirror</t>
        </is>
      </c>
      <c r="L101" s="24">
        <f>L93</f>
        <v/>
      </c>
    </row>
    <row r="102">
      <c r="B102" s="17" t="inlineStr">
        <is>
          <t>[mirror] Trust &amp; Credibility Signals</t>
        </is>
      </c>
      <c r="J102" t="inlineStr">
        <is>
          <t>Sub-audit Mirror</t>
        </is>
      </c>
      <c r="L102" s="24">
        <f>L99</f>
        <v/>
      </c>
    </row>
    <row r="103">
      <c r="A103" s="3" t="inlineStr">
        <is>
          <t>Mission Critical - CATEGORY ROLLUP</t>
        </is>
      </c>
      <c r="J103" t="inlineStr">
        <is>
          <t>Category Rollup</t>
        </is>
      </c>
      <c r="L103" s="25">
        <f>IF(SUM(SubWt_mission)=0,"N/A",SUMPRODUCT(L100:L102,SubWt_mission)/SUM(SubWt_mission))</f>
        <v/>
      </c>
    </row>
    <row r="105">
      <c r="A105" s="18" t="inlineStr">
        <is>
          <t>Analytics and Insight</t>
        </is>
      </c>
      <c r="B105" s="21" t="n"/>
      <c r="C105" s="22" t="inlineStr">
        <is>
          <t>Weight: 12 pts  (='Rubric'!$C$20)</t>
        </is>
      </c>
      <c r="D105" s="21" t="n"/>
      <c r="E105" s="21" t="n"/>
      <c r="F105" s="21" t="n"/>
      <c r="G105" s="21" t="n"/>
      <c r="H105" s="21" t="n"/>
      <c r="I105" s="21" t="n"/>
      <c r="J105" s="21" t="inlineStr">
        <is>
          <t>Category Header</t>
        </is>
      </c>
      <c r="K105" s="21" t="n"/>
      <c r="L105" s="21" t="n"/>
      <c r="M105" s="21" t="n"/>
    </row>
    <row r="106">
      <c r="B106" s="3" t="inlineStr">
        <is>
          <t>Foundational Analytics (weight 5)</t>
        </is>
      </c>
      <c r="J106" t="inlineStr">
        <is>
          <t>Sub-audit Header</t>
        </is>
      </c>
    </row>
    <row r="107">
      <c r="A107" s="8" t="inlineStr">
        <is>
          <t>Analytics and Insight</t>
        </is>
      </c>
      <c r="B107" s="8" t="inlineStr">
        <is>
          <t>Foundational Analytics</t>
        </is>
      </c>
      <c r="C107" s="8" t="inlineStr">
        <is>
          <t>ANALYTICS-FOUNDATIONAL-01</t>
        </is>
      </c>
      <c r="D107" s="15" t="inlineStr">
        <is>
          <t>Example leaf 1 for Foundational Analytics (illustrative placeholder - replaced by the real upstream Bee's finding at run time)</t>
        </is>
      </c>
      <c r="E107" s="23" t="n">
        <v>6</v>
      </c>
      <c r="F107" s="8" t="inlineStr">
        <is>
          <t>example-evidence-pointer.md#L1</t>
        </is>
      </c>
      <c r="G107" s="8" t="inlineStr">
        <is>
          <t>Illustrative justification text.</t>
        </is>
      </c>
      <c r="H107" s="23" t="n">
        <v>1</v>
      </c>
      <c r="I107" s="8">
        <f>IF(E107="","",IF(E107&gt;0,"Included","Excluded (N/A)"))</f>
        <v/>
      </c>
      <c r="J107" s="8" t="inlineStr">
        <is>
          <t>Leaf</t>
        </is>
      </c>
      <c r="K107" s="8" t="n"/>
      <c r="L107" s="8" t="n"/>
      <c r="M107" s="8">
        <f>IF(E107=1,1,0)</f>
        <v/>
      </c>
    </row>
    <row r="108">
      <c r="A108" s="8" t="inlineStr">
        <is>
          <t>Analytics and Insight</t>
        </is>
      </c>
      <c r="B108" s="8" t="inlineStr">
        <is>
          <t>Foundational Analytics</t>
        </is>
      </c>
      <c r="C108" s="8" t="inlineStr">
        <is>
          <t>ANALYTICS-FOUNDATIONAL-02</t>
        </is>
      </c>
      <c r="D108" s="15" t="inlineStr">
        <is>
          <t>Example leaf 2 for Foundational Analytics (illustrative placeholder - replaced by the real upstream Bee's finding at run time)</t>
        </is>
      </c>
      <c r="E108" s="23" t="n">
        <v>6</v>
      </c>
      <c r="F108" s="8" t="inlineStr">
        <is>
          <t>example-evidence-pointer.md#L1</t>
        </is>
      </c>
      <c r="G108" s="8" t="inlineStr">
        <is>
          <t>Illustrative justification text.</t>
        </is>
      </c>
      <c r="H108" s="23" t="n">
        <v>1</v>
      </c>
      <c r="I108" s="8">
        <f>IF(E108="","",IF(E108&gt;0,"Included","Excluded (N/A)"))</f>
        <v/>
      </c>
      <c r="J108" s="8" t="inlineStr">
        <is>
          <t>Leaf</t>
        </is>
      </c>
      <c r="K108" s="8" t="n"/>
      <c r="L108" s="8" t="n"/>
      <c r="M108" s="8">
        <f>IF(E108=1,1,0)</f>
        <v/>
      </c>
    </row>
    <row r="109">
      <c r="A109" s="8" t="inlineStr">
        <is>
          <t>Analytics and Insight</t>
        </is>
      </c>
      <c r="B109" s="8" t="inlineStr">
        <is>
          <t>Foundational Analytics</t>
        </is>
      </c>
      <c r="C109" s="8" t="inlineStr">
        <is>
          <t>ANALYTICS-FOUNDATIONAL-03</t>
        </is>
      </c>
      <c r="D109" s="15" t="inlineStr">
        <is>
          <t>Example leaf 3 for Foundational Analytics (illustrative placeholder - replaced by the real upstream Bee's finding at run time)</t>
        </is>
      </c>
      <c r="E109" s="23" t="n">
        <v>6</v>
      </c>
      <c r="F109" s="8" t="inlineStr">
        <is>
          <t>example-evidence-pointer.md#L1</t>
        </is>
      </c>
      <c r="G109" s="8" t="inlineStr">
        <is>
          <t>Illustrative justification text.</t>
        </is>
      </c>
      <c r="H109" s="23" t="n">
        <v>1</v>
      </c>
      <c r="I109" s="8">
        <f>IF(E109="","",IF(E109&gt;0,"Included","Excluded (N/A)"))</f>
        <v/>
      </c>
      <c r="J109" s="8" t="inlineStr">
        <is>
          <t>Leaf</t>
        </is>
      </c>
      <c r="K109" s="8" t="n"/>
      <c r="L109" s="8" t="n"/>
      <c r="M109" s="8">
        <f>IF(E109=1,1,0)</f>
        <v/>
      </c>
    </row>
    <row r="110">
      <c r="A110" s="8" t="inlineStr">
        <is>
          <t>Analytics and Insight</t>
        </is>
      </c>
      <c r="B110" s="8" t="inlineStr">
        <is>
          <t>Foundational Analytics</t>
        </is>
      </c>
      <c r="C110" s="8" t="inlineStr">
        <is>
          <t>ANALYTICS-FOUNDATIONAL-04</t>
        </is>
      </c>
      <c r="D110" s="15" t="inlineStr">
        <is>
          <t>Example leaf 4 for Foundational Analytics (illustrative - not applicable to this site type)</t>
        </is>
      </c>
      <c r="E110" s="23" t="n">
        <v>0</v>
      </c>
      <c r="F110" s="8" t="inlineStr">
        <is>
          <t>n/a</t>
        </is>
      </c>
      <c r="G110" s="8" t="inlineStr">
        <is>
          <t>Not applicable to this site type.</t>
        </is>
      </c>
      <c r="H110" s="23" t="n">
        <v>1</v>
      </c>
      <c r="I110" s="8">
        <f>IF(E110="","",IF(E110&gt;0,"Included","Excluded (N/A)"))</f>
        <v/>
      </c>
      <c r="J110" s="8" t="inlineStr">
        <is>
          <t>Leaf</t>
        </is>
      </c>
      <c r="K110" s="8" t="n"/>
      <c r="L110" s="8" t="n"/>
      <c r="M110" s="8">
        <f>IF(E110=1,1,0)</f>
        <v/>
      </c>
    </row>
    <row r="111">
      <c r="B111" s="17" t="inlineStr">
        <is>
          <t xml:space="preserve">  -&gt; Foundational Analytics rollup</t>
        </is>
      </c>
      <c r="J111" t="inlineStr">
        <is>
          <t>Sub-audit Rollup</t>
        </is>
      </c>
      <c r="L111" s="11">
        <f>IF(SUMPRODUCT(--(E107:E110&gt;0),H107:H110)=0,"N/A",SUMPRODUCT(--(E107:E110&gt;0),E107:E110,H107:H110)/(6*SUMPRODUCT(--(E107:E110&gt;0),H107:H110)))</f>
        <v/>
      </c>
    </row>
    <row r="112">
      <c r="B112" s="3" t="inlineStr">
        <is>
          <t>Industry-Specific Analytics (weight 4)</t>
        </is>
      </c>
      <c r="J112" t="inlineStr">
        <is>
          <t>Sub-audit Header</t>
        </is>
      </c>
    </row>
    <row r="113">
      <c r="A113" s="8" t="inlineStr">
        <is>
          <t>Analytics and Insight</t>
        </is>
      </c>
      <c r="B113" s="8" t="inlineStr">
        <is>
          <t>Industry-Specific Analytics</t>
        </is>
      </c>
      <c r="C113" s="8" t="inlineStr">
        <is>
          <t>ANALYTICS-INDUSTRY-01</t>
        </is>
      </c>
      <c r="D113" s="15" t="inlineStr">
        <is>
          <t>Example leaf 1 for Industry-Specific Analytics (illustrative placeholder - replaced by the real upstream Bee's finding at run time)</t>
        </is>
      </c>
      <c r="E113" s="23" t="n">
        <v>6</v>
      </c>
      <c r="F113" s="8" t="inlineStr">
        <is>
          <t>example-evidence-pointer.md#L1</t>
        </is>
      </c>
      <c r="G113" s="8" t="inlineStr">
        <is>
          <t>Illustrative justification text.</t>
        </is>
      </c>
      <c r="H113" s="23" t="n">
        <v>1</v>
      </c>
      <c r="I113" s="8">
        <f>IF(E113="","",IF(E113&gt;0,"Included","Excluded (N/A)"))</f>
        <v/>
      </c>
      <c r="J113" s="8" t="inlineStr">
        <is>
          <t>Leaf</t>
        </is>
      </c>
      <c r="K113" s="8" t="n"/>
      <c r="L113" s="8" t="n"/>
      <c r="M113" s="8">
        <f>IF(E113=1,1,0)</f>
        <v/>
      </c>
    </row>
    <row r="114">
      <c r="A114" s="8" t="inlineStr">
        <is>
          <t>Analytics and Insight</t>
        </is>
      </c>
      <c r="B114" s="8" t="inlineStr">
        <is>
          <t>Industry-Specific Analytics</t>
        </is>
      </c>
      <c r="C114" s="8" t="inlineStr">
        <is>
          <t>ANALYTICS-INDUSTRY-02</t>
        </is>
      </c>
      <c r="D114" s="15" t="inlineStr">
        <is>
          <t>Example leaf 2 for Industry-Specific Analytics (illustrative placeholder - replaced by the real upstream Bee's finding at run time)</t>
        </is>
      </c>
      <c r="E114" s="23" t="n">
        <v>6</v>
      </c>
      <c r="F114" s="8" t="inlineStr">
        <is>
          <t>example-evidence-pointer.md#L1</t>
        </is>
      </c>
      <c r="G114" s="8" t="inlineStr">
        <is>
          <t>Illustrative justification text.</t>
        </is>
      </c>
      <c r="H114" s="23" t="n">
        <v>1</v>
      </c>
      <c r="I114" s="8">
        <f>IF(E114="","",IF(E114&gt;0,"Included","Excluded (N/A)"))</f>
        <v/>
      </c>
      <c r="J114" s="8" t="inlineStr">
        <is>
          <t>Leaf</t>
        </is>
      </c>
      <c r="K114" s="8" t="n"/>
      <c r="L114" s="8" t="n"/>
      <c r="M114" s="8">
        <f>IF(E114=1,1,0)</f>
        <v/>
      </c>
    </row>
    <row r="115">
      <c r="A115" s="8" t="inlineStr">
        <is>
          <t>Analytics and Insight</t>
        </is>
      </c>
      <c r="B115" s="8" t="inlineStr">
        <is>
          <t>Industry-Specific Analytics</t>
        </is>
      </c>
      <c r="C115" s="8" t="inlineStr">
        <is>
          <t>ANALYTICS-INDUSTRY-03</t>
        </is>
      </c>
      <c r="D115" s="15" t="inlineStr">
        <is>
          <t>Example leaf 3 for Industry-Specific Analytics (illustrative placeholder - replaced by the real upstream Bee's finding at run time)</t>
        </is>
      </c>
      <c r="E115" s="23" t="n">
        <v>6</v>
      </c>
      <c r="F115" s="8" t="inlineStr">
        <is>
          <t>example-evidence-pointer.md#L1</t>
        </is>
      </c>
      <c r="G115" s="8" t="inlineStr">
        <is>
          <t>Illustrative justification text.</t>
        </is>
      </c>
      <c r="H115" s="23" t="n">
        <v>1</v>
      </c>
      <c r="I115" s="8">
        <f>IF(E115="","",IF(E115&gt;0,"Included","Excluded (N/A)"))</f>
        <v/>
      </c>
      <c r="J115" s="8" t="inlineStr">
        <is>
          <t>Leaf</t>
        </is>
      </c>
      <c r="K115" s="8" t="n"/>
      <c r="L115" s="8" t="n"/>
      <c r="M115" s="8">
        <f>IF(E115=1,1,0)</f>
        <v/>
      </c>
    </row>
    <row r="116">
      <c r="A116" s="8" t="inlineStr">
        <is>
          <t>Analytics and Insight</t>
        </is>
      </c>
      <c r="B116" s="8" t="inlineStr">
        <is>
          <t>Industry-Specific Analytics</t>
        </is>
      </c>
      <c r="C116" s="8" t="inlineStr">
        <is>
          <t>ANALYTICS-INDUSTRY-04</t>
        </is>
      </c>
      <c r="D116" s="15" t="inlineStr">
        <is>
          <t>Example leaf 4 for Industry-Specific Analytics (illustrative - not applicable to this site type)</t>
        </is>
      </c>
      <c r="E116" s="23" t="n">
        <v>0</v>
      </c>
      <c r="F116" s="8" t="inlineStr">
        <is>
          <t>n/a</t>
        </is>
      </c>
      <c r="G116" s="8" t="inlineStr">
        <is>
          <t>Not applicable to this site type.</t>
        </is>
      </c>
      <c r="H116" s="23" t="n">
        <v>1</v>
      </c>
      <c r="I116" s="8">
        <f>IF(E116="","",IF(E116&gt;0,"Included","Excluded (N/A)"))</f>
        <v/>
      </c>
      <c r="J116" s="8" t="inlineStr">
        <is>
          <t>Leaf</t>
        </is>
      </c>
      <c r="K116" s="8" t="n"/>
      <c r="L116" s="8" t="n"/>
      <c r="M116" s="8">
        <f>IF(E116=1,1,0)</f>
        <v/>
      </c>
    </row>
    <row r="117">
      <c r="B117" s="17" t="inlineStr">
        <is>
          <t xml:space="preserve">  -&gt; Industry-Specific Analytics rollup</t>
        </is>
      </c>
      <c r="J117" t="inlineStr">
        <is>
          <t>Sub-audit Rollup</t>
        </is>
      </c>
      <c r="L117" s="11">
        <f>IF(SUMPRODUCT(--(E113:E116&gt;0),H113:H116)=0,"N/A",SUMPRODUCT(--(E113:E116&gt;0),E113:E116,H113:H116)/(6*SUMPRODUCT(--(E113:E116&gt;0),H113:H116)))</f>
        <v/>
      </c>
    </row>
    <row r="118">
      <c r="B118" s="3" t="inlineStr">
        <is>
          <t>De-Anonymization (where lawful) (weight 3)</t>
        </is>
      </c>
      <c r="J118" t="inlineStr">
        <is>
          <t>Sub-audit Header</t>
        </is>
      </c>
    </row>
    <row r="119">
      <c r="A119" s="8" t="inlineStr">
        <is>
          <t>Analytics and Insight</t>
        </is>
      </c>
      <c r="B119" s="8" t="inlineStr">
        <is>
          <t>De-Anonymization (where lawful)</t>
        </is>
      </c>
      <c r="C119" s="8" t="inlineStr">
        <is>
          <t>ANALYTICS-DEANONYMIZATION-01</t>
        </is>
      </c>
      <c r="D119" s="15" t="inlineStr">
        <is>
          <t>Example leaf 1 for De-Anonymization (where lawful) (illustrative placeholder - replaced by the real upstream Bee's finding at run time)</t>
        </is>
      </c>
      <c r="E119" s="23" t="n">
        <v>6</v>
      </c>
      <c r="F119" s="8" t="inlineStr">
        <is>
          <t>example-evidence-pointer.md#L1</t>
        </is>
      </c>
      <c r="G119" s="8" t="inlineStr">
        <is>
          <t>Illustrative justification text.</t>
        </is>
      </c>
      <c r="H119" s="23" t="n">
        <v>1</v>
      </c>
      <c r="I119" s="8">
        <f>IF(E119="","",IF(E119&gt;0,"Included","Excluded (N/A)"))</f>
        <v/>
      </c>
      <c r="J119" s="8" t="inlineStr">
        <is>
          <t>Leaf</t>
        </is>
      </c>
      <c r="K119" s="8" t="n"/>
      <c r="L119" s="8" t="n"/>
      <c r="M119" s="8">
        <f>IF(E119=1,1,0)</f>
        <v/>
      </c>
    </row>
    <row r="120">
      <c r="A120" s="8" t="inlineStr">
        <is>
          <t>Analytics and Insight</t>
        </is>
      </c>
      <c r="B120" s="8" t="inlineStr">
        <is>
          <t>De-Anonymization (where lawful)</t>
        </is>
      </c>
      <c r="C120" s="8" t="inlineStr">
        <is>
          <t>ANALYTICS-DEANONYMIZATION-02</t>
        </is>
      </c>
      <c r="D120" s="15" t="inlineStr">
        <is>
          <t>Example leaf 2 for De-Anonymization (where lawful) (illustrative placeholder - replaced by the real upstream Bee's finding at run time)</t>
        </is>
      </c>
      <c r="E120" s="23" t="n">
        <v>6</v>
      </c>
      <c r="F120" s="8" t="inlineStr">
        <is>
          <t>example-evidence-pointer.md#L1</t>
        </is>
      </c>
      <c r="G120" s="8" t="inlineStr">
        <is>
          <t>Illustrative justification text.</t>
        </is>
      </c>
      <c r="H120" s="23" t="n">
        <v>1</v>
      </c>
      <c r="I120" s="8">
        <f>IF(E120="","",IF(E120&gt;0,"Included","Excluded (N/A)"))</f>
        <v/>
      </c>
      <c r="J120" s="8" t="inlineStr">
        <is>
          <t>Leaf</t>
        </is>
      </c>
      <c r="K120" s="8" t="n"/>
      <c r="L120" s="8" t="n"/>
      <c r="M120" s="8">
        <f>IF(E120=1,1,0)</f>
        <v/>
      </c>
    </row>
    <row r="121">
      <c r="A121" s="8" t="inlineStr">
        <is>
          <t>Analytics and Insight</t>
        </is>
      </c>
      <c r="B121" s="8" t="inlineStr">
        <is>
          <t>De-Anonymization (where lawful)</t>
        </is>
      </c>
      <c r="C121" s="8" t="inlineStr">
        <is>
          <t>ANALYTICS-DEANONYMIZATION-03</t>
        </is>
      </c>
      <c r="D121" s="15" t="inlineStr">
        <is>
          <t>Example leaf 3 for De-Anonymization (where lawful) (illustrative placeholder - replaced by the real upstream Bee's finding at run time)</t>
        </is>
      </c>
      <c r="E121" s="23" t="n">
        <v>6</v>
      </c>
      <c r="F121" s="8" t="inlineStr">
        <is>
          <t>example-evidence-pointer.md#L1</t>
        </is>
      </c>
      <c r="G121" s="8" t="inlineStr">
        <is>
          <t>Illustrative justification text.</t>
        </is>
      </c>
      <c r="H121" s="23" t="n">
        <v>1</v>
      </c>
      <c r="I121" s="8">
        <f>IF(E121="","",IF(E121&gt;0,"Included","Excluded (N/A)"))</f>
        <v/>
      </c>
      <c r="J121" s="8" t="inlineStr">
        <is>
          <t>Leaf</t>
        </is>
      </c>
      <c r="K121" s="8" t="n"/>
      <c r="L121" s="8" t="n"/>
      <c r="M121" s="8">
        <f>IF(E121=1,1,0)</f>
        <v/>
      </c>
    </row>
    <row r="122">
      <c r="A122" s="8" t="inlineStr">
        <is>
          <t>Analytics and Insight</t>
        </is>
      </c>
      <c r="B122" s="8" t="inlineStr">
        <is>
          <t>De-Anonymization (where lawful)</t>
        </is>
      </c>
      <c r="C122" s="8" t="inlineStr">
        <is>
          <t>ANALYTICS-DEANONYMIZATION-04</t>
        </is>
      </c>
      <c r="D122" s="15" t="inlineStr">
        <is>
          <t>Example leaf 4 for De-Anonymization (where lawful) (illustrative - not applicable to this site type)</t>
        </is>
      </c>
      <c r="E122" s="23" t="n">
        <v>0</v>
      </c>
      <c r="F122" s="8" t="inlineStr">
        <is>
          <t>n/a</t>
        </is>
      </c>
      <c r="G122" s="8" t="inlineStr">
        <is>
          <t>Not applicable to this site type.</t>
        </is>
      </c>
      <c r="H122" s="23" t="n">
        <v>1</v>
      </c>
      <c r="I122" s="8">
        <f>IF(E122="","",IF(E122&gt;0,"Included","Excluded (N/A)"))</f>
        <v/>
      </c>
      <c r="J122" s="8" t="inlineStr">
        <is>
          <t>Leaf</t>
        </is>
      </c>
      <c r="K122" s="8" t="n"/>
      <c r="L122" s="8" t="n"/>
      <c r="M122" s="8">
        <f>IF(E122=1,1,0)</f>
        <v/>
      </c>
    </row>
    <row r="123">
      <c r="B123" s="17" t="inlineStr">
        <is>
          <t xml:space="preserve">  -&gt; De-Anonymization (where lawful) rollup</t>
        </is>
      </c>
      <c r="J123" t="inlineStr">
        <is>
          <t>Sub-audit Rollup</t>
        </is>
      </c>
      <c r="L123" s="11">
        <f>IF(SUMPRODUCT(--(E119:E122&gt;0),H119:H122)=0,"N/A",SUMPRODUCT(--(E119:E122&gt;0),E119:E122,H119:H122)/(6*SUMPRODUCT(--(E119:E122&gt;0),H119:H122)))</f>
        <v/>
      </c>
    </row>
    <row r="124">
      <c r="B124" s="17" t="inlineStr">
        <is>
          <t>[mirror] Foundational Analytics</t>
        </is>
      </c>
      <c r="J124" t="inlineStr">
        <is>
          <t>Sub-audit Mirror</t>
        </is>
      </c>
      <c r="L124" s="24">
        <f>L111</f>
        <v/>
      </c>
    </row>
    <row r="125">
      <c r="B125" s="17" t="inlineStr">
        <is>
          <t>[mirror] Industry-Specific Analytics</t>
        </is>
      </c>
      <c r="J125" t="inlineStr">
        <is>
          <t>Sub-audit Mirror</t>
        </is>
      </c>
      <c r="L125" s="24">
        <f>L117</f>
        <v/>
      </c>
    </row>
    <row r="126">
      <c r="B126" s="17" t="inlineStr">
        <is>
          <t>[mirror] De-Anonymization (where lawful)</t>
        </is>
      </c>
      <c r="J126" t="inlineStr">
        <is>
          <t>Sub-audit Mirror</t>
        </is>
      </c>
      <c r="L126" s="24">
        <f>L123</f>
        <v/>
      </c>
    </row>
    <row r="127">
      <c r="A127" s="3" t="inlineStr">
        <is>
          <t>Analytics and Insight - CATEGORY ROLLUP</t>
        </is>
      </c>
      <c r="J127" t="inlineStr">
        <is>
          <t>Category Rollup</t>
        </is>
      </c>
      <c r="L127" s="25">
        <f>IF(SUM(SubWt_analytics)=0,"N/A",SUMPRODUCT(L124:L126,SubWt_analytics)/SUM(SubWt_analytics))</f>
        <v/>
      </c>
    </row>
    <row r="129">
      <c r="A129" s="18" t="inlineStr">
        <is>
          <t>Technical Deployment</t>
        </is>
      </c>
      <c r="B129" s="21" t="n"/>
      <c r="C129" s="22" t="inlineStr">
        <is>
          <t>Weight: 11 pts  (='Rubric'!$C$21)</t>
        </is>
      </c>
      <c r="D129" s="21" t="n"/>
      <c r="E129" s="21" t="n"/>
      <c r="F129" s="21" t="n"/>
      <c r="G129" s="21" t="n"/>
      <c r="H129" s="21" t="n"/>
      <c r="I129" s="21" t="n"/>
      <c r="J129" s="21" t="inlineStr">
        <is>
          <t>Category Header</t>
        </is>
      </c>
      <c r="K129" s="21" t="n"/>
      <c r="L129" s="21" t="n"/>
      <c r="M129" s="21" t="n"/>
    </row>
    <row r="130">
      <c r="B130" s="3" t="inlineStr">
        <is>
          <t>CDN (weight 3)</t>
        </is>
      </c>
      <c r="J130" t="inlineStr">
        <is>
          <t>Sub-audit Header</t>
        </is>
      </c>
    </row>
    <row r="131">
      <c r="A131" s="8" t="inlineStr">
        <is>
          <t>Technical Deployment</t>
        </is>
      </c>
      <c r="B131" s="8" t="inlineStr">
        <is>
          <t>CDN</t>
        </is>
      </c>
      <c r="C131" s="8" t="inlineStr">
        <is>
          <t>TECHNICAL-CDN-01</t>
        </is>
      </c>
      <c r="D131" s="15" t="inlineStr">
        <is>
          <t>Example leaf 1 for CDN (illustrative placeholder - replaced by the real upstream Bee's finding at run time)</t>
        </is>
      </c>
      <c r="E131" s="23" t="n">
        <v>6</v>
      </c>
      <c r="F131" s="8" t="inlineStr">
        <is>
          <t>example-evidence-pointer.md#L1</t>
        </is>
      </c>
      <c r="G131" s="8" t="inlineStr">
        <is>
          <t>Illustrative justification text.</t>
        </is>
      </c>
      <c r="H131" s="23" t="n">
        <v>1</v>
      </c>
      <c r="I131" s="8">
        <f>IF(E131="","",IF(E131&gt;0,"Included","Excluded (N/A)"))</f>
        <v/>
      </c>
      <c r="J131" s="8" t="inlineStr">
        <is>
          <t>Leaf</t>
        </is>
      </c>
      <c r="K131" s="8" t="n"/>
      <c r="L131" s="8" t="n"/>
      <c r="M131" s="8">
        <f>IF(E131=1,1,0)</f>
        <v/>
      </c>
    </row>
    <row r="132">
      <c r="A132" s="8" t="inlineStr">
        <is>
          <t>Technical Deployment</t>
        </is>
      </c>
      <c r="B132" s="8" t="inlineStr">
        <is>
          <t>CDN</t>
        </is>
      </c>
      <c r="C132" s="8" t="inlineStr">
        <is>
          <t>TECHNICAL-CDN-02</t>
        </is>
      </c>
      <c r="D132" s="15" t="inlineStr">
        <is>
          <t>Example leaf 2 for CDN (illustrative placeholder - replaced by the real upstream Bee's finding at run time)</t>
        </is>
      </c>
      <c r="E132" s="23" t="n">
        <v>6</v>
      </c>
      <c r="F132" s="8" t="inlineStr">
        <is>
          <t>example-evidence-pointer.md#L1</t>
        </is>
      </c>
      <c r="G132" s="8" t="inlineStr">
        <is>
          <t>Illustrative justification text.</t>
        </is>
      </c>
      <c r="H132" s="23" t="n">
        <v>1</v>
      </c>
      <c r="I132" s="8">
        <f>IF(E132="","",IF(E132&gt;0,"Included","Excluded (N/A)"))</f>
        <v/>
      </c>
      <c r="J132" s="8" t="inlineStr">
        <is>
          <t>Leaf</t>
        </is>
      </c>
      <c r="K132" s="8" t="n"/>
      <c r="L132" s="8" t="n"/>
      <c r="M132" s="8">
        <f>IF(E132=1,1,0)</f>
        <v/>
      </c>
    </row>
    <row r="133">
      <c r="A133" s="8" t="inlineStr">
        <is>
          <t>Technical Deployment</t>
        </is>
      </c>
      <c r="B133" s="8" t="inlineStr">
        <is>
          <t>CDN</t>
        </is>
      </c>
      <c r="C133" s="8" t="inlineStr">
        <is>
          <t>TECHNICAL-CDN-03</t>
        </is>
      </c>
      <c r="D133" s="15" t="inlineStr">
        <is>
          <t>Example leaf 3 for CDN (illustrative placeholder - replaced by the real upstream Bee's finding at run time)</t>
        </is>
      </c>
      <c r="E133" s="23" t="n">
        <v>6</v>
      </c>
      <c r="F133" s="8" t="inlineStr">
        <is>
          <t>example-evidence-pointer.md#L1</t>
        </is>
      </c>
      <c r="G133" s="8" t="inlineStr">
        <is>
          <t>Illustrative justification text.</t>
        </is>
      </c>
      <c r="H133" s="23" t="n">
        <v>1</v>
      </c>
      <c r="I133" s="8">
        <f>IF(E133="","",IF(E133&gt;0,"Included","Excluded (N/A)"))</f>
        <v/>
      </c>
      <c r="J133" s="8" t="inlineStr">
        <is>
          <t>Leaf</t>
        </is>
      </c>
      <c r="K133" s="8" t="n"/>
      <c r="L133" s="8" t="n"/>
      <c r="M133" s="8">
        <f>IF(E133=1,1,0)</f>
        <v/>
      </c>
    </row>
    <row r="134">
      <c r="A134" s="8" t="inlineStr">
        <is>
          <t>Technical Deployment</t>
        </is>
      </c>
      <c r="B134" s="8" t="inlineStr">
        <is>
          <t>CDN</t>
        </is>
      </c>
      <c r="C134" s="8" t="inlineStr">
        <is>
          <t>TECHNICAL-CDN-04</t>
        </is>
      </c>
      <c r="D134" s="15" t="inlineStr">
        <is>
          <t>Example leaf 4 for CDN (illustrative - not applicable to this site type)</t>
        </is>
      </c>
      <c r="E134" s="23" t="n">
        <v>0</v>
      </c>
      <c r="F134" s="8" t="inlineStr">
        <is>
          <t>n/a</t>
        </is>
      </c>
      <c r="G134" s="8" t="inlineStr">
        <is>
          <t>Not applicable to this site type.</t>
        </is>
      </c>
      <c r="H134" s="23" t="n">
        <v>1</v>
      </c>
      <c r="I134" s="8">
        <f>IF(E134="","",IF(E134&gt;0,"Included","Excluded (N/A)"))</f>
        <v/>
      </c>
      <c r="J134" s="8" t="inlineStr">
        <is>
          <t>Leaf</t>
        </is>
      </c>
      <c r="K134" s="8" t="n"/>
      <c r="L134" s="8" t="n"/>
      <c r="M134" s="8">
        <f>IF(E134=1,1,0)</f>
        <v/>
      </c>
    </row>
    <row r="135">
      <c r="B135" s="17" t="inlineStr">
        <is>
          <t xml:space="preserve">  -&gt; CDN rollup</t>
        </is>
      </c>
      <c r="J135" t="inlineStr">
        <is>
          <t>Sub-audit Rollup</t>
        </is>
      </c>
      <c r="L135" s="11">
        <f>IF(SUMPRODUCT(--(E131:E134&gt;0),H131:H134)=0,"N/A",SUMPRODUCT(--(E131:E134&gt;0),E131:E134,H131:H134)/(6*SUMPRODUCT(--(E131:E134&gt;0),H131:H134)))</f>
        <v/>
      </c>
    </row>
    <row r="136">
      <c r="B136" s="3" t="inlineStr">
        <is>
          <t>Caching Strategy (weight 4)</t>
        </is>
      </c>
      <c r="J136" t="inlineStr">
        <is>
          <t>Sub-audit Header</t>
        </is>
      </c>
    </row>
    <row r="137">
      <c r="A137" s="8" t="inlineStr">
        <is>
          <t>Technical Deployment</t>
        </is>
      </c>
      <c r="B137" s="8" t="inlineStr">
        <is>
          <t>Caching Strategy</t>
        </is>
      </c>
      <c r="C137" s="8" t="inlineStr">
        <is>
          <t>TECHNICAL-CACHING-01</t>
        </is>
      </c>
      <c r="D137" s="15" t="inlineStr">
        <is>
          <t>Example leaf 1 for Caching Strategy (illustrative placeholder - replaced by the real upstream Bee's finding at run time)</t>
        </is>
      </c>
      <c r="E137" s="23" t="n">
        <v>6</v>
      </c>
      <c r="F137" s="8" t="inlineStr">
        <is>
          <t>example-evidence-pointer.md#L1</t>
        </is>
      </c>
      <c r="G137" s="8" t="inlineStr">
        <is>
          <t>Illustrative justification text.</t>
        </is>
      </c>
      <c r="H137" s="23" t="n">
        <v>1</v>
      </c>
      <c r="I137" s="8">
        <f>IF(E137="","",IF(E137&gt;0,"Included","Excluded (N/A)"))</f>
        <v/>
      </c>
      <c r="J137" s="8" t="inlineStr">
        <is>
          <t>Leaf</t>
        </is>
      </c>
      <c r="K137" s="8" t="n"/>
      <c r="L137" s="8" t="n"/>
      <c r="M137" s="8">
        <f>IF(E137=1,1,0)</f>
        <v/>
      </c>
    </row>
    <row r="138">
      <c r="A138" s="8" t="inlineStr">
        <is>
          <t>Technical Deployment</t>
        </is>
      </c>
      <c r="B138" s="8" t="inlineStr">
        <is>
          <t>Caching Strategy</t>
        </is>
      </c>
      <c r="C138" s="8" t="inlineStr">
        <is>
          <t>TECHNICAL-CACHING-02</t>
        </is>
      </c>
      <c r="D138" s="15" t="inlineStr">
        <is>
          <t>Example leaf 2 for Caching Strategy (illustrative placeholder - replaced by the real upstream Bee's finding at run time)</t>
        </is>
      </c>
      <c r="E138" s="23" t="n">
        <v>6</v>
      </c>
      <c r="F138" s="8" t="inlineStr">
        <is>
          <t>example-evidence-pointer.md#L1</t>
        </is>
      </c>
      <c r="G138" s="8" t="inlineStr">
        <is>
          <t>Illustrative justification text.</t>
        </is>
      </c>
      <c r="H138" s="23" t="n">
        <v>1</v>
      </c>
      <c r="I138" s="8">
        <f>IF(E138="","",IF(E138&gt;0,"Included","Excluded (N/A)"))</f>
        <v/>
      </c>
      <c r="J138" s="8" t="inlineStr">
        <is>
          <t>Leaf</t>
        </is>
      </c>
      <c r="K138" s="8" t="n"/>
      <c r="L138" s="8" t="n"/>
      <c r="M138" s="8">
        <f>IF(E138=1,1,0)</f>
        <v/>
      </c>
    </row>
    <row r="139">
      <c r="A139" s="8" t="inlineStr">
        <is>
          <t>Technical Deployment</t>
        </is>
      </c>
      <c r="B139" s="8" t="inlineStr">
        <is>
          <t>Caching Strategy</t>
        </is>
      </c>
      <c r="C139" s="8" t="inlineStr">
        <is>
          <t>TECHNICAL-CACHING-03</t>
        </is>
      </c>
      <c r="D139" s="15" t="inlineStr">
        <is>
          <t>Example leaf 3 for Caching Strategy (illustrative placeholder - replaced by the real upstream Bee's finding at run time)</t>
        </is>
      </c>
      <c r="E139" s="23" t="n">
        <v>6</v>
      </c>
      <c r="F139" s="8" t="inlineStr">
        <is>
          <t>example-evidence-pointer.md#L1</t>
        </is>
      </c>
      <c r="G139" s="8" t="inlineStr">
        <is>
          <t>Illustrative justification text.</t>
        </is>
      </c>
      <c r="H139" s="23" t="n">
        <v>1</v>
      </c>
      <c r="I139" s="8">
        <f>IF(E139="","",IF(E139&gt;0,"Included","Excluded (N/A)"))</f>
        <v/>
      </c>
      <c r="J139" s="8" t="inlineStr">
        <is>
          <t>Leaf</t>
        </is>
      </c>
      <c r="K139" s="8" t="n"/>
      <c r="L139" s="8" t="n"/>
      <c r="M139" s="8">
        <f>IF(E139=1,1,0)</f>
        <v/>
      </c>
    </row>
    <row r="140">
      <c r="A140" s="8" t="inlineStr">
        <is>
          <t>Technical Deployment</t>
        </is>
      </c>
      <c r="B140" s="8" t="inlineStr">
        <is>
          <t>Caching Strategy</t>
        </is>
      </c>
      <c r="C140" s="8" t="inlineStr">
        <is>
          <t>TECHNICAL-CACHING-04</t>
        </is>
      </c>
      <c r="D140" s="15" t="inlineStr">
        <is>
          <t>Example leaf 4 for Caching Strategy (illustrative - not applicable to this site type)</t>
        </is>
      </c>
      <c r="E140" s="23" t="n">
        <v>0</v>
      </c>
      <c r="F140" s="8" t="inlineStr">
        <is>
          <t>n/a</t>
        </is>
      </c>
      <c r="G140" s="8" t="inlineStr">
        <is>
          <t>Not applicable to this site type.</t>
        </is>
      </c>
      <c r="H140" s="23" t="n">
        <v>1</v>
      </c>
      <c r="I140" s="8">
        <f>IF(E140="","",IF(E140&gt;0,"Included","Excluded (N/A)"))</f>
        <v/>
      </c>
      <c r="J140" s="8" t="inlineStr">
        <is>
          <t>Leaf</t>
        </is>
      </c>
      <c r="K140" s="8" t="n"/>
      <c r="L140" s="8" t="n"/>
      <c r="M140" s="8">
        <f>IF(E140=1,1,0)</f>
        <v/>
      </c>
    </row>
    <row r="141">
      <c r="B141" s="17" t="inlineStr">
        <is>
          <t xml:space="preserve">  -&gt; Caching Strategy rollup</t>
        </is>
      </c>
      <c r="J141" t="inlineStr">
        <is>
          <t>Sub-audit Rollup</t>
        </is>
      </c>
      <c r="L141" s="11">
        <f>IF(SUMPRODUCT(--(E137:E140&gt;0),H137:H140)=0,"N/A",SUMPRODUCT(--(E137:E140&gt;0),E137:E140,H137:H140)/(6*SUMPRODUCT(--(E137:E140&gt;0),H137:H140)))</f>
        <v/>
      </c>
    </row>
    <row r="142">
      <c r="B142" s="3" t="inlineStr">
        <is>
          <t>Core Web Vitals (weight 4)</t>
        </is>
      </c>
      <c r="J142" t="inlineStr">
        <is>
          <t>Sub-audit Header</t>
        </is>
      </c>
    </row>
    <row r="143">
      <c r="A143" s="8" t="inlineStr">
        <is>
          <t>Technical Deployment</t>
        </is>
      </c>
      <c r="B143" s="8" t="inlineStr">
        <is>
          <t>Core Web Vitals</t>
        </is>
      </c>
      <c r="C143" s="8" t="inlineStr">
        <is>
          <t>TECHNICAL-CWV-01</t>
        </is>
      </c>
      <c r="D143" s="15" t="inlineStr">
        <is>
          <t>Example leaf 1 for Core Web Vitals (illustrative placeholder - replaced by the real upstream Bee's finding at run time)</t>
        </is>
      </c>
      <c r="E143" s="23" t="n">
        <v>6</v>
      </c>
      <c r="F143" s="8" t="inlineStr">
        <is>
          <t>example-evidence-pointer.md#L1</t>
        </is>
      </c>
      <c r="G143" s="8" t="inlineStr">
        <is>
          <t>Illustrative justification text.</t>
        </is>
      </c>
      <c r="H143" s="23" t="n">
        <v>1</v>
      </c>
      <c r="I143" s="8">
        <f>IF(E143="","",IF(E143&gt;0,"Included","Excluded (N/A)"))</f>
        <v/>
      </c>
      <c r="J143" s="8" t="inlineStr">
        <is>
          <t>Leaf</t>
        </is>
      </c>
      <c r="K143" s="8" t="n"/>
      <c r="L143" s="8" t="n"/>
      <c r="M143" s="8">
        <f>IF(E143=1,1,0)</f>
        <v/>
      </c>
    </row>
    <row r="144">
      <c r="A144" s="8" t="inlineStr">
        <is>
          <t>Technical Deployment</t>
        </is>
      </c>
      <c r="B144" s="8" t="inlineStr">
        <is>
          <t>Core Web Vitals</t>
        </is>
      </c>
      <c r="C144" s="8" t="inlineStr">
        <is>
          <t>TECHNICAL-CWV-02</t>
        </is>
      </c>
      <c r="D144" s="15" t="inlineStr">
        <is>
          <t>Example leaf 2 for Core Web Vitals (illustrative placeholder - replaced by the real upstream Bee's finding at run time)</t>
        </is>
      </c>
      <c r="E144" s="23" t="n">
        <v>6</v>
      </c>
      <c r="F144" s="8" t="inlineStr">
        <is>
          <t>example-evidence-pointer.md#L1</t>
        </is>
      </c>
      <c r="G144" s="8" t="inlineStr">
        <is>
          <t>Illustrative justification text.</t>
        </is>
      </c>
      <c r="H144" s="23" t="n">
        <v>1</v>
      </c>
      <c r="I144" s="8">
        <f>IF(E144="","",IF(E144&gt;0,"Included","Excluded (N/A)"))</f>
        <v/>
      </c>
      <c r="J144" s="8" t="inlineStr">
        <is>
          <t>Leaf</t>
        </is>
      </c>
      <c r="K144" s="8" t="n"/>
      <c r="L144" s="8" t="n"/>
      <c r="M144" s="8">
        <f>IF(E144=1,1,0)</f>
        <v/>
      </c>
    </row>
    <row r="145">
      <c r="A145" s="8" t="inlineStr">
        <is>
          <t>Technical Deployment</t>
        </is>
      </c>
      <c r="B145" s="8" t="inlineStr">
        <is>
          <t>Core Web Vitals</t>
        </is>
      </c>
      <c r="C145" s="8" t="inlineStr">
        <is>
          <t>TECHNICAL-CWV-03</t>
        </is>
      </c>
      <c r="D145" s="15" t="inlineStr">
        <is>
          <t>Example leaf 3 for Core Web Vitals (illustrative placeholder - replaced by the real upstream Bee's finding at run time)</t>
        </is>
      </c>
      <c r="E145" s="23" t="n">
        <v>6</v>
      </c>
      <c r="F145" s="8" t="inlineStr">
        <is>
          <t>example-evidence-pointer.md#L1</t>
        </is>
      </c>
      <c r="G145" s="8" t="inlineStr">
        <is>
          <t>Illustrative justification text.</t>
        </is>
      </c>
      <c r="H145" s="23" t="n">
        <v>1</v>
      </c>
      <c r="I145" s="8">
        <f>IF(E145="","",IF(E145&gt;0,"Included","Excluded (N/A)"))</f>
        <v/>
      </c>
      <c r="J145" s="8" t="inlineStr">
        <is>
          <t>Leaf</t>
        </is>
      </c>
      <c r="K145" s="8" t="n"/>
      <c r="L145" s="8" t="n"/>
      <c r="M145" s="8">
        <f>IF(E145=1,1,0)</f>
        <v/>
      </c>
    </row>
    <row r="146">
      <c r="A146" s="8" t="inlineStr">
        <is>
          <t>Technical Deployment</t>
        </is>
      </c>
      <c r="B146" s="8" t="inlineStr">
        <is>
          <t>Core Web Vitals</t>
        </is>
      </c>
      <c r="C146" s="8" t="inlineStr">
        <is>
          <t>TECHNICAL-CWV-04</t>
        </is>
      </c>
      <c r="D146" s="15" t="inlineStr">
        <is>
          <t>Example leaf 4 for Core Web Vitals (illustrative - not applicable to this site type)</t>
        </is>
      </c>
      <c r="E146" s="23" t="n">
        <v>0</v>
      </c>
      <c r="F146" s="8" t="inlineStr">
        <is>
          <t>n/a</t>
        </is>
      </c>
      <c r="G146" s="8" t="inlineStr">
        <is>
          <t>Not applicable to this site type.</t>
        </is>
      </c>
      <c r="H146" s="23" t="n">
        <v>1</v>
      </c>
      <c r="I146" s="8">
        <f>IF(E146="","",IF(E146&gt;0,"Included","Excluded (N/A)"))</f>
        <v/>
      </c>
      <c r="J146" s="8" t="inlineStr">
        <is>
          <t>Leaf</t>
        </is>
      </c>
      <c r="K146" s="8" t="n"/>
      <c r="L146" s="8" t="n"/>
      <c r="M146" s="8">
        <f>IF(E146=1,1,0)</f>
        <v/>
      </c>
    </row>
    <row r="147">
      <c r="B147" s="17" t="inlineStr">
        <is>
          <t xml:space="preserve">  -&gt; Core Web Vitals rollup</t>
        </is>
      </c>
      <c r="J147" t="inlineStr">
        <is>
          <t>Sub-audit Rollup</t>
        </is>
      </c>
      <c r="L147" s="11">
        <f>IF(SUMPRODUCT(--(E143:E146&gt;0),H143:H146)=0,"N/A",SUMPRODUCT(--(E143:E146&gt;0),E143:E146,H143:H146)/(6*SUMPRODUCT(--(E143:E146&gt;0),H143:H146)))</f>
        <v/>
      </c>
    </row>
    <row r="148">
      <c r="B148" s="17" t="inlineStr">
        <is>
          <t>[mirror] CDN</t>
        </is>
      </c>
      <c r="J148" t="inlineStr">
        <is>
          <t>Sub-audit Mirror</t>
        </is>
      </c>
      <c r="L148" s="24">
        <f>L135</f>
        <v/>
      </c>
    </row>
    <row r="149">
      <c r="B149" s="17" t="inlineStr">
        <is>
          <t>[mirror] Caching Strategy</t>
        </is>
      </c>
      <c r="J149" t="inlineStr">
        <is>
          <t>Sub-audit Mirror</t>
        </is>
      </c>
      <c r="L149" s="24">
        <f>L141</f>
        <v/>
      </c>
    </row>
    <row r="150">
      <c r="B150" s="17" t="inlineStr">
        <is>
          <t>[mirror] Core Web Vitals</t>
        </is>
      </c>
      <c r="J150" t="inlineStr">
        <is>
          <t>Sub-audit Mirror</t>
        </is>
      </c>
      <c r="L150" s="24">
        <f>L147</f>
        <v/>
      </c>
    </row>
    <row r="151">
      <c r="A151" s="3" t="inlineStr">
        <is>
          <t>Technical Deployment - CATEGORY ROLLUP</t>
        </is>
      </c>
      <c r="J151" t="inlineStr">
        <is>
          <t>Category Rollup</t>
        </is>
      </c>
      <c r="L151" s="25">
        <f>IF(SUM(SubWt_technical)=0,"N/A",SUMPRODUCT(L148:L150,SubWt_technical)/SUM(SubWt_technical))</f>
        <v/>
      </c>
    </row>
    <row r="153">
      <c r="A153" s="18" t="inlineStr">
        <is>
          <t>Foundational Completeness</t>
        </is>
      </c>
      <c r="B153" s="21" t="n"/>
      <c r="C153" s="22" t="inlineStr">
        <is>
          <t>Weight: 10 pts  (='Rubric'!$C$22)</t>
        </is>
      </c>
      <c r="D153" s="21" t="n"/>
      <c r="E153" s="21" t="n"/>
      <c r="F153" s="21" t="n"/>
      <c r="G153" s="21" t="n"/>
      <c r="H153" s="21" t="n"/>
      <c r="I153" s="21" t="n"/>
      <c r="J153" s="21" t="inlineStr">
        <is>
          <t>Category Header</t>
        </is>
      </c>
      <c r="K153" s="21" t="n"/>
      <c r="L153" s="21" t="n"/>
      <c r="M153" s="21" t="n"/>
    </row>
    <row r="154">
      <c r="B154" s="3" t="inlineStr">
        <is>
          <t>Core Pages &amp; Contact Info (weight 3.3333)</t>
        </is>
      </c>
      <c r="J154" t="inlineStr">
        <is>
          <t>Sub-audit Header</t>
        </is>
      </c>
    </row>
    <row r="155">
      <c r="A155" s="8" t="inlineStr">
        <is>
          <t>Foundational Completeness</t>
        </is>
      </c>
      <c r="B155" s="8" t="inlineStr">
        <is>
          <t>Core Pages &amp; Contact Info</t>
        </is>
      </c>
      <c r="C155" s="8" t="inlineStr">
        <is>
          <t>FOUNDATIONAL-CORE_PAGES-01</t>
        </is>
      </c>
      <c r="D155" s="15" t="inlineStr">
        <is>
          <t>Example leaf 1 for Core Pages &amp; Contact Info (illustrative placeholder - replaced by the real upstream Bee's finding at run time)</t>
        </is>
      </c>
      <c r="E155" s="23" t="n">
        <v>6</v>
      </c>
      <c r="F155" s="8" t="inlineStr">
        <is>
          <t>example-evidence-pointer.md#L1</t>
        </is>
      </c>
      <c r="G155" s="8" t="inlineStr">
        <is>
          <t>Illustrative justification text.</t>
        </is>
      </c>
      <c r="H155" s="23" t="n">
        <v>1</v>
      </c>
      <c r="I155" s="8">
        <f>IF(E155="","",IF(E155&gt;0,"Included","Excluded (N/A)"))</f>
        <v/>
      </c>
      <c r="J155" s="8" t="inlineStr">
        <is>
          <t>Leaf</t>
        </is>
      </c>
      <c r="K155" s="8" t="n"/>
      <c r="L155" s="8" t="n"/>
      <c r="M155" s="8">
        <f>IF(E155=1,1,0)</f>
        <v/>
      </c>
    </row>
    <row r="156">
      <c r="A156" s="8" t="inlineStr">
        <is>
          <t>Foundational Completeness</t>
        </is>
      </c>
      <c r="B156" s="8" t="inlineStr">
        <is>
          <t>Core Pages &amp; Contact Info</t>
        </is>
      </c>
      <c r="C156" s="8" t="inlineStr">
        <is>
          <t>FOUNDATIONAL-CORE_PAGES-02</t>
        </is>
      </c>
      <c r="D156" s="15" t="inlineStr">
        <is>
          <t>Example leaf 2 for Core Pages &amp; Contact Info (illustrative placeholder - replaced by the real upstream Bee's finding at run time)</t>
        </is>
      </c>
      <c r="E156" s="23" t="n">
        <v>6</v>
      </c>
      <c r="F156" s="8" t="inlineStr">
        <is>
          <t>example-evidence-pointer.md#L1</t>
        </is>
      </c>
      <c r="G156" s="8" t="inlineStr">
        <is>
          <t>Illustrative justification text.</t>
        </is>
      </c>
      <c r="H156" s="23" t="n">
        <v>1</v>
      </c>
      <c r="I156" s="8">
        <f>IF(E156="","",IF(E156&gt;0,"Included","Excluded (N/A)"))</f>
        <v/>
      </c>
      <c r="J156" s="8" t="inlineStr">
        <is>
          <t>Leaf</t>
        </is>
      </c>
      <c r="K156" s="8" t="n"/>
      <c r="L156" s="8" t="n"/>
      <c r="M156" s="8">
        <f>IF(E156=1,1,0)</f>
        <v/>
      </c>
    </row>
    <row r="157">
      <c r="A157" s="8" t="inlineStr">
        <is>
          <t>Foundational Completeness</t>
        </is>
      </c>
      <c r="B157" s="8" t="inlineStr">
        <is>
          <t>Core Pages &amp; Contact Info</t>
        </is>
      </c>
      <c r="C157" s="8" t="inlineStr">
        <is>
          <t>FOUNDATIONAL-CORE_PAGES-03</t>
        </is>
      </c>
      <c r="D157" s="15" t="inlineStr">
        <is>
          <t>Example leaf 3 for Core Pages &amp; Contact Info (illustrative placeholder - replaced by the real upstream Bee's finding at run time)</t>
        </is>
      </c>
      <c r="E157" s="23" t="n">
        <v>6</v>
      </c>
      <c r="F157" s="8" t="inlineStr">
        <is>
          <t>example-evidence-pointer.md#L1</t>
        </is>
      </c>
      <c r="G157" s="8" t="inlineStr">
        <is>
          <t>Illustrative justification text.</t>
        </is>
      </c>
      <c r="H157" s="23" t="n">
        <v>1</v>
      </c>
      <c r="I157" s="8">
        <f>IF(E157="","",IF(E157&gt;0,"Included","Excluded (N/A)"))</f>
        <v/>
      </c>
      <c r="J157" s="8" t="inlineStr">
        <is>
          <t>Leaf</t>
        </is>
      </c>
      <c r="K157" s="8" t="n"/>
      <c r="L157" s="8" t="n"/>
      <c r="M157" s="8">
        <f>IF(E157=1,1,0)</f>
        <v/>
      </c>
    </row>
    <row r="158">
      <c r="A158" s="8" t="inlineStr">
        <is>
          <t>Foundational Completeness</t>
        </is>
      </c>
      <c r="B158" s="8" t="inlineStr">
        <is>
          <t>Core Pages &amp; Contact Info</t>
        </is>
      </c>
      <c r="C158" s="8" t="inlineStr">
        <is>
          <t>FOUNDATIONAL-CORE_PAGES-04</t>
        </is>
      </c>
      <c r="D158" s="15" t="inlineStr">
        <is>
          <t>Example leaf 4 for Core Pages &amp; Contact Info (illustrative - not applicable to this site type)</t>
        </is>
      </c>
      <c r="E158" s="23" t="n">
        <v>0</v>
      </c>
      <c r="F158" s="8" t="inlineStr">
        <is>
          <t>n/a</t>
        </is>
      </c>
      <c r="G158" s="8" t="inlineStr">
        <is>
          <t>Not applicable to this site type.</t>
        </is>
      </c>
      <c r="H158" s="23" t="n">
        <v>1</v>
      </c>
      <c r="I158" s="8">
        <f>IF(E158="","",IF(E158&gt;0,"Included","Excluded (N/A)"))</f>
        <v/>
      </c>
      <c r="J158" s="8" t="inlineStr">
        <is>
          <t>Leaf</t>
        </is>
      </c>
      <c r="K158" s="8" t="n"/>
      <c r="L158" s="8" t="n"/>
      <c r="M158" s="8">
        <f>IF(E158=1,1,0)</f>
        <v/>
      </c>
    </row>
    <row r="159">
      <c r="B159" s="17" t="inlineStr">
        <is>
          <t xml:space="preserve">  -&gt; Core Pages &amp; Contact Info rollup</t>
        </is>
      </c>
      <c r="J159" t="inlineStr">
        <is>
          <t>Sub-audit Rollup</t>
        </is>
      </c>
      <c r="L159" s="11">
        <f>IF(SUMPRODUCT(--(E155:E158&gt;0),H155:H158)=0,"N/A",SUMPRODUCT(--(E155:E158&gt;0),E155:E158,H155:H158)/(6*SUMPRODUCT(--(E155:E158&gt;0),H155:H158)))</f>
        <v/>
      </c>
    </row>
    <row r="160">
      <c r="B160" s="3" t="inlineStr">
        <is>
          <t>Legal &amp; Policy Presence (weight 3.3333)</t>
        </is>
      </c>
      <c r="J160" t="inlineStr">
        <is>
          <t>Sub-audit Header</t>
        </is>
      </c>
    </row>
    <row r="161">
      <c r="A161" s="8" t="inlineStr">
        <is>
          <t>Foundational Completeness</t>
        </is>
      </c>
      <c r="B161" s="8" t="inlineStr">
        <is>
          <t>Legal &amp; Policy Presence</t>
        </is>
      </c>
      <c r="C161" s="8" t="inlineStr">
        <is>
          <t>FOUNDATIONAL-LEGAL_POLICY-01</t>
        </is>
      </c>
      <c r="D161" s="15" t="inlineStr">
        <is>
          <t>Example leaf 1 for Legal &amp; Policy Presence (illustrative placeholder - replaced by the real upstream Bee's finding at run time)</t>
        </is>
      </c>
      <c r="E161" s="23" t="n">
        <v>6</v>
      </c>
      <c r="F161" s="8" t="inlineStr">
        <is>
          <t>example-evidence-pointer.md#L1</t>
        </is>
      </c>
      <c r="G161" s="8" t="inlineStr">
        <is>
          <t>Illustrative justification text.</t>
        </is>
      </c>
      <c r="H161" s="23" t="n">
        <v>1</v>
      </c>
      <c r="I161" s="8">
        <f>IF(E161="","",IF(E161&gt;0,"Included","Excluded (N/A)"))</f>
        <v/>
      </c>
      <c r="J161" s="8" t="inlineStr">
        <is>
          <t>Leaf</t>
        </is>
      </c>
      <c r="K161" s="8" t="n"/>
      <c r="L161" s="8" t="n"/>
      <c r="M161" s="8">
        <f>IF(E161=1,1,0)</f>
        <v/>
      </c>
    </row>
    <row r="162">
      <c r="A162" s="8" t="inlineStr">
        <is>
          <t>Foundational Completeness</t>
        </is>
      </c>
      <c r="B162" s="8" t="inlineStr">
        <is>
          <t>Legal &amp; Policy Presence</t>
        </is>
      </c>
      <c r="C162" s="8" t="inlineStr">
        <is>
          <t>FOUNDATIONAL-LEGAL_POLICY-02</t>
        </is>
      </c>
      <c r="D162" s="15" t="inlineStr">
        <is>
          <t>Example leaf 2 for Legal &amp; Policy Presence (illustrative placeholder - replaced by the real upstream Bee's finding at run time)</t>
        </is>
      </c>
      <c r="E162" s="23" t="n">
        <v>6</v>
      </c>
      <c r="F162" s="8" t="inlineStr">
        <is>
          <t>example-evidence-pointer.md#L1</t>
        </is>
      </c>
      <c r="G162" s="8" t="inlineStr">
        <is>
          <t>Illustrative justification text.</t>
        </is>
      </c>
      <c r="H162" s="23" t="n">
        <v>1</v>
      </c>
      <c r="I162" s="8">
        <f>IF(E162="","",IF(E162&gt;0,"Included","Excluded (N/A)"))</f>
        <v/>
      </c>
      <c r="J162" s="8" t="inlineStr">
        <is>
          <t>Leaf</t>
        </is>
      </c>
      <c r="K162" s="8" t="n"/>
      <c r="L162" s="8" t="n"/>
      <c r="M162" s="8">
        <f>IF(E162=1,1,0)</f>
        <v/>
      </c>
    </row>
    <row r="163">
      <c r="A163" s="8" t="inlineStr">
        <is>
          <t>Foundational Completeness</t>
        </is>
      </c>
      <c r="B163" s="8" t="inlineStr">
        <is>
          <t>Legal &amp; Policy Presence</t>
        </is>
      </c>
      <c r="C163" s="8" t="inlineStr">
        <is>
          <t>FOUNDATIONAL-LEGAL_POLICY-03</t>
        </is>
      </c>
      <c r="D163" s="15" t="inlineStr">
        <is>
          <t>Example leaf 3 for Legal &amp; Policy Presence (illustrative placeholder - replaced by the real upstream Bee's finding at run time)</t>
        </is>
      </c>
      <c r="E163" s="23" t="n">
        <v>6</v>
      </c>
      <c r="F163" s="8" t="inlineStr">
        <is>
          <t>example-evidence-pointer.md#L1</t>
        </is>
      </c>
      <c r="G163" s="8" t="inlineStr">
        <is>
          <t>Illustrative justification text.</t>
        </is>
      </c>
      <c r="H163" s="23" t="n">
        <v>1</v>
      </c>
      <c r="I163" s="8">
        <f>IF(E163="","",IF(E163&gt;0,"Included","Excluded (N/A)"))</f>
        <v/>
      </c>
      <c r="J163" s="8" t="inlineStr">
        <is>
          <t>Leaf</t>
        </is>
      </c>
      <c r="K163" s="8" t="n"/>
      <c r="L163" s="8" t="n"/>
      <c r="M163" s="8">
        <f>IF(E163=1,1,0)</f>
        <v/>
      </c>
    </row>
    <row r="164">
      <c r="A164" s="8" t="inlineStr">
        <is>
          <t>Foundational Completeness</t>
        </is>
      </c>
      <c r="B164" s="8" t="inlineStr">
        <is>
          <t>Legal &amp; Policy Presence</t>
        </is>
      </c>
      <c r="C164" s="8" t="inlineStr">
        <is>
          <t>FOUNDATIONAL-LEGAL_POLICY-04</t>
        </is>
      </c>
      <c r="D164" s="15" t="inlineStr">
        <is>
          <t>Example leaf 4 for Legal &amp; Policy Presence (illustrative - not applicable to this site type)</t>
        </is>
      </c>
      <c r="E164" s="23" t="n">
        <v>0</v>
      </c>
      <c r="F164" s="8" t="inlineStr">
        <is>
          <t>n/a</t>
        </is>
      </c>
      <c r="G164" s="8" t="inlineStr">
        <is>
          <t>Not applicable to this site type.</t>
        </is>
      </c>
      <c r="H164" s="23" t="n">
        <v>1</v>
      </c>
      <c r="I164" s="8">
        <f>IF(E164="","",IF(E164&gt;0,"Included","Excluded (N/A)"))</f>
        <v/>
      </c>
      <c r="J164" s="8" t="inlineStr">
        <is>
          <t>Leaf</t>
        </is>
      </c>
      <c r="K164" s="8" t="n"/>
      <c r="L164" s="8" t="n"/>
      <c r="M164" s="8">
        <f>IF(E164=1,1,0)</f>
        <v/>
      </c>
    </row>
    <row r="165">
      <c r="B165" s="17" t="inlineStr">
        <is>
          <t xml:space="preserve">  -&gt; Legal &amp; Policy Presence rollup</t>
        </is>
      </c>
      <c r="J165" t="inlineStr">
        <is>
          <t>Sub-audit Rollup</t>
        </is>
      </c>
      <c r="L165" s="11">
        <f>IF(SUMPRODUCT(--(E161:E164&gt;0),H161:H164)=0,"N/A",SUMPRODUCT(--(E161:E164&gt;0),E161:E164,H161:H164)/(6*SUMPRODUCT(--(E161:E164&gt;0),H161:H164)))</f>
        <v/>
      </c>
    </row>
    <row r="166">
      <c r="B166" s="3" t="inlineStr">
        <is>
          <t>Basic Technical Hygiene (weight 3.3333)</t>
        </is>
      </c>
      <c r="J166" t="inlineStr">
        <is>
          <t>Sub-audit Header</t>
        </is>
      </c>
    </row>
    <row r="167">
      <c r="A167" s="8" t="inlineStr">
        <is>
          <t>Foundational Completeness</t>
        </is>
      </c>
      <c r="B167" s="8" t="inlineStr">
        <is>
          <t>Basic Technical Hygiene</t>
        </is>
      </c>
      <c r="C167" s="8" t="inlineStr">
        <is>
          <t>FOUNDATIONAL-BASIC_HYGIENE-01</t>
        </is>
      </c>
      <c r="D167" s="15" t="inlineStr">
        <is>
          <t>Example leaf 1 for Basic Technical Hygiene (illustrative placeholder - replaced by the real upstream Bee's finding at run time)</t>
        </is>
      </c>
      <c r="E167" s="23" t="n">
        <v>6</v>
      </c>
      <c r="F167" s="8" t="inlineStr">
        <is>
          <t>example-evidence-pointer.md#L1</t>
        </is>
      </c>
      <c r="G167" s="8" t="inlineStr">
        <is>
          <t>Illustrative justification text.</t>
        </is>
      </c>
      <c r="H167" s="23" t="n">
        <v>1</v>
      </c>
      <c r="I167" s="8">
        <f>IF(E167="","",IF(E167&gt;0,"Included","Excluded (N/A)"))</f>
        <v/>
      </c>
      <c r="J167" s="8" t="inlineStr">
        <is>
          <t>Leaf</t>
        </is>
      </c>
      <c r="K167" s="8" t="n"/>
      <c r="L167" s="8" t="n"/>
      <c r="M167" s="8">
        <f>IF(E167=1,1,0)</f>
        <v/>
      </c>
    </row>
    <row r="168">
      <c r="A168" s="8" t="inlineStr">
        <is>
          <t>Foundational Completeness</t>
        </is>
      </c>
      <c r="B168" s="8" t="inlineStr">
        <is>
          <t>Basic Technical Hygiene</t>
        </is>
      </c>
      <c r="C168" s="8" t="inlineStr">
        <is>
          <t>FOUNDATIONAL-BASIC_HYGIENE-02</t>
        </is>
      </c>
      <c r="D168" s="15" t="inlineStr">
        <is>
          <t>Example leaf 2 for Basic Technical Hygiene (illustrative placeholder - replaced by the real upstream Bee's finding at run time)</t>
        </is>
      </c>
      <c r="E168" s="23" t="n">
        <v>6</v>
      </c>
      <c r="F168" s="8" t="inlineStr">
        <is>
          <t>example-evidence-pointer.md#L1</t>
        </is>
      </c>
      <c r="G168" s="8" t="inlineStr">
        <is>
          <t>Illustrative justification text.</t>
        </is>
      </c>
      <c r="H168" s="23" t="n">
        <v>1</v>
      </c>
      <c r="I168" s="8">
        <f>IF(E168="","",IF(E168&gt;0,"Included","Excluded (N/A)"))</f>
        <v/>
      </c>
      <c r="J168" s="8" t="inlineStr">
        <is>
          <t>Leaf</t>
        </is>
      </c>
      <c r="K168" s="8" t="n"/>
      <c r="L168" s="8" t="n"/>
      <c r="M168" s="8">
        <f>IF(E168=1,1,0)</f>
        <v/>
      </c>
    </row>
    <row r="169">
      <c r="A169" s="8" t="inlineStr">
        <is>
          <t>Foundational Completeness</t>
        </is>
      </c>
      <c r="B169" s="8" t="inlineStr">
        <is>
          <t>Basic Technical Hygiene</t>
        </is>
      </c>
      <c r="C169" s="8" t="inlineStr">
        <is>
          <t>FOUNDATIONAL-BASIC_HYGIENE-03</t>
        </is>
      </c>
      <c r="D169" s="15" t="inlineStr">
        <is>
          <t>Example leaf 3 for Basic Technical Hygiene (illustrative placeholder - replaced by the real upstream Bee's finding at run time)</t>
        </is>
      </c>
      <c r="E169" s="23" t="n">
        <v>6</v>
      </c>
      <c r="F169" s="8" t="inlineStr">
        <is>
          <t>example-evidence-pointer.md#L1</t>
        </is>
      </c>
      <c r="G169" s="8" t="inlineStr">
        <is>
          <t>Illustrative justification text.</t>
        </is>
      </c>
      <c r="H169" s="23" t="n">
        <v>1</v>
      </c>
      <c r="I169" s="8">
        <f>IF(E169="","",IF(E169&gt;0,"Included","Excluded (N/A)"))</f>
        <v/>
      </c>
      <c r="J169" s="8" t="inlineStr">
        <is>
          <t>Leaf</t>
        </is>
      </c>
      <c r="K169" s="8" t="n"/>
      <c r="L169" s="8" t="n"/>
      <c r="M169" s="8">
        <f>IF(E169=1,1,0)</f>
        <v/>
      </c>
    </row>
    <row r="170">
      <c r="A170" s="8" t="inlineStr">
        <is>
          <t>Foundational Completeness</t>
        </is>
      </c>
      <c r="B170" s="8" t="inlineStr">
        <is>
          <t>Basic Technical Hygiene</t>
        </is>
      </c>
      <c r="C170" s="8" t="inlineStr">
        <is>
          <t>FOUNDATIONAL-BASIC_HYGIENE-04</t>
        </is>
      </c>
      <c r="D170" s="15" t="inlineStr">
        <is>
          <t>Example leaf 4 for Basic Technical Hygiene (illustrative - not applicable to this site type)</t>
        </is>
      </c>
      <c r="E170" s="23" t="n">
        <v>0</v>
      </c>
      <c r="F170" s="8" t="inlineStr">
        <is>
          <t>n/a</t>
        </is>
      </c>
      <c r="G170" s="8" t="inlineStr">
        <is>
          <t>Not applicable to this site type.</t>
        </is>
      </c>
      <c r="H170" s="23" t="n">
        <v>1</v>
      </c>
      <c r="I170" s="8">
        <f>IF(E170="","",IF(E170&gt;0,"Included","Excluded (N/A)"))</f>
        <v/>
      </c>
      <c r="J170" s="8" t="inlineStr">
        <is>
          <t>Leaf</t>
        </is>
      </c>
      <c r="K170" s="8" t="n"/>
      <c r="L170" s="8" t="n"/>
      <c r="M170" s="8">
        <f>IF(E170=1,1,0)</f>
        <v/>
      </c>
    </row>
    <row r="171">
      <c r="B171" s="17" t="inlineStr">
        <is>
          <t xml:space="preserve">  -&gt; Basic Technical Hygiene rollup</t>
        </is>
      </c>
      <c r="J171" t="inlineStr">
        <is>
          <t>Sub-audit Rollup</t>
        </is>
      </c>
      <c r="L171" s="11">
        <f>IF(SUMPRODUCT(--(E167:E170&gt;0),H167:H170)=0,"N/A",SUMPRODUCT(--(E167:E170&gt;0),E167:E170,H167:H170)/(6*SUMPRODUCT(--(E167:E170&gt;0),H167:H170)))</f>
        <v/>
      </c>
    </row>
    <row r="172">
      <c r="B172" s="17" t="inlineStr">
        <is>
          <t>[mirror] Core Pages &amp; Contact Info</t>
        </is>
      </c>
      <c r="J172" t="inlineStr">
        <is>
          <t>Sub-audit Mirror</t>
        </is>
      </c>
      <c r="L172" s="24">
        <f>L159</f>
        <v/>
      </c>
    </row>
    <row r="173">
      <c r="B173" s="17" t="inlineStr">
        <is>
          <t>[mirror] Legal &amp; Policy Presence</t>
        </is>
      </c>
      <c r="J173" t="inlineStr">
        <is>
          <t>Sub-audit Mirror</t>
        </is>
      </c>
      <c r="L173" s="24">
        <f>L165</f>
        <v/>
      </c>
    </row>
    <row r="174">
      <c r="B174" s="17" t="inlineStr">
        <is>
          <t>[mirror] Basic Technical Hygiene</t>
        </is>
      </c>
      <c r="J174" t="inlineStr">
        <is>
          <t>Sub-audit Mirror</t>
        </is>
      </c>
      <c r="L174" s="24">
        <f>L171</f>
        <v/>
      </c>
    </row>
    <row r="175">
      <c r="A175" s="3" t="inlineStr">
        <is>
          <t>Foundational Completeness - CATEGORY ROLLUP</t>
        </is>
      </c>
      <c r="J175" t="inlineStr">
        <is>
          <t>Category Rollup</t>
        </is>
      </c>
      <c r="L175" s="25">
        <f>IF(SUM(SubWt_foundational)=0,"N/A",SUMPRODUCT(L172:L174,SubWt_foundational)/SUM(SubWt_foundational))</f>
        <v/>
      </c>
    </row>
    <row r="177">
      <c r="A177" s="18" t="inlineStr">
        <is>
          <t>Search Presence</t>
        </is>
      </c>
      <c r="B177" s="21" t="n"/>
      <c r="C177" s="22" t="inlineStr">
        <is>
          <t>Weight: 9 pts  (='Rubric'!$C$23)</t>
        </is>
      </c>
      <c r="D177" s="21" t="n"/>
      <c r="E177" s="21" t="n"/>
      <c r="F177" s="21" t="n"/>
      <c r="G177" s="21" t="n"/>
      <c r="H177" s="21" t="n"/>
      <c r="I177" s="21" t="n"/>
      <c r="J177" s="21" t="inlineStr">
        <is>
          <t>Category Header</t>
        </is>
      </c>
      <c r="K177" s="21" t="n"/>
      <c r="L177" s="21" t="n"/>
      <c r="M177" s="21" t="n"/>
    </row>
    <row r="178">
      <c r="B178" s="3" t="inlineStr">
        <is>
          <t>Technical SEO (weight 3.5)</t>
        </is>
      </c>
      <c r="J178" t="inlineStr">
        <is>
          <t>Sub-audit Header</t>
        </is>
      </c>
    </row>
    <row r="179">
      <c r="A179" s="8" t="inlineStr">
        <is>
          <t>Search Presence</t>
        </is>
      </c>
      <c r="B179" s="8" t="inlineStr">
        <is>
          <t>Technical SEO</t>
        </is>
      </c>
      <c r="C179" s="8" t="inlineStr">
        <is>
          <t>SEARCH-TECH_SEO-01</t>
        </is>
      </c>
      <c r="D179" s="15" t="inlineStr">
        <is>
          <t>Example leaf 1 for Technical SEO (illustrative placeholder - replaced by the real upstream Bee's finding at run time)</t>
        </is>
      </c>
      <c r="E179" s="23" t="n">
        <v>6</v>
      </c>
      <c r="F179" s="8" t="inlineStr">
        <is>
          <t>example-evidence-pointer.md#L1</t>
        </is>
      </c>
      <c r="G179" s="8" t="inlineStr">
        <is>
          <t>Illustrative justification text.</t>
        </is>
      </c>
      <c r="H179" s="23" t="n">
        <v>1</v>
      </c>
      <c r="I179" s="8">
        <f>IF(E179="","",IF(E179&gt;0,"Included","Excluded (N/A)"))</f>
        <v/>
      </c>
      <c r="J179" s="8" t="inlineStr">
        <is>
          <t>Leaf</t>
        </is>
      </c>
      <c r="K179" s="8" t="n"/>
      <c r="L179" s="8" t="n"/>
      <c r="M179" s="8">
        <f>IF(E179=1,1,0)</f>
        <v/>
      </c>
    </row>
    <row r="180">
      <c r="A180" s="8" t="inlineStr">
        <is>
          <t>Search Presence</t>
        </is>
      </c>
      <c r="B180" s="8" t="inlineStr">
        <is>
          <t>Technical SEO</t>
        </is>
      </c>
      <c r="C180" s="8" t="inlineStr">
        <is>
          <t>SEARCH-TECH_SEO-02</t>
        </is>
      </c>
      <c r="D180" s="15" t="inlineStr">
        <is>
          <t>Example leaf 2 for Technical SEO (illustrative placeholder - replaced by the real upstream Bee's finding at run time)</t>
        </is>
      </c>
      <c r="E180" s="23" t="n">
        <v>6</v>
      </c>
      <c r="F180" s="8" t="inlineStr">
        <is>
          <t>example-evidence-pointer.md#L1</t>
        </is>
      </c>
      <c r="G180" s="8" t="inlineStr">
        <is>
          <t>Illustrative justification text.</t>
        </is>
      </c>
      <c r="H180" s="23" t="n">
        <v>1</v>
      </c>
      <c r="I180" s="8">
        <f>IF(E180="","",IF(E180&gt;0,"Included","Excluded (N/A)"))</f>
        <v/>
      </c>
      <c r="J180" s="8" t="inlineStr">
        <is>
          <t>Leaf</t>
        </is>
      </c>
      <c r="K180" s="8" t="n"/>
      <c r="L180" s="8" t="n"/>
      <c r="M180" s="8">
        <f>IF(E180=1,1,0)</f>
        <v/>
      </c>
    </row>
    <row r="181">
      <c r="A181" s="8" t="inlineStr">
        <is>
          <t>Search Presence</t>
        </is>
      </c>
      <c r="B181" s="8" t="inlineStr">
        <is>
          <t>Technical SEO</t>
        </is>
      </c>
      <c r="C181" s="8" t="inlineStr">
        <is>
          <t>SEARCH-TECH_SEO-03</t>
        </is>
      </c>
      <c r="D181" s="15" t="inlineStr">
        <is>
          <t>Example leaf 3 for Technical SEO (illustrative placeholder - replaced by the real upstream Bee's finding at run time)</t>
        </is>
      </c>
      <c r="E181" s="23" t="n">
        <v>6</v>
      </c>
      <c r="F181" s="8" t="inlineStr">
        <is>
          <t>example-evidence-pointer.md#L1</t>
        </is>
      </c>
      <c r="G181" s="8" t="inlineStr">
        <is>
          <t>Illustrative justification text.</t>
        </is>
      </c>
      <c r="H181" s="23" t="n">
        <v>1</v>
      </c>
      <c r="I181" s="8">
        <f>IF(E181="","",IF(E181&gt;0,"Included","Excluded (N/A)"))</f>
        <v/>
      </c>
      <c r="J181" s="8" t="inlineStr">
        <is>
          <t>Leaf</t>
        </is>
      </c>
      <c r="K181" s="8" t="n"/>
      <c r="L181" s="8" t="n"/>
      <c r="M181" s="8">
        <f>IF(E181=1,1,0)</f>
        <v/>
      </c>
    </row>
    <row r="182">
      <c r="A182" s="8" t="inlineStr">
        <is>
          <t>Search Presence</t>
        </is>
      </c>
      <c r="B182" s="8" t="inlineStr">
        <is>
          <t>Technical SEO</t>
        </is>
      </c>
      <c r="C182" s="8" t="inlineStr">
        <is>
          <t>SEARCH-TECH_SEO-04</t>
        </is>
      </c>
      <c r="D182" s="15" t="inlineStr">
        <is>
          <t>Example leaf 4 for Technical SEO (illustrative - not applicable to this site type)</t>
        </is>
      </c>
      <c r="E182" s="23" t="n">
        <v>0</v>
      </c>
      <c r="F182" s="8" t="inlineStr">
        <is>
          <t>n/a</t>
        </is>
      </c>
      <c r="G182" s="8" t="inlineStr">
        <is>
          <t>Not applicable to this site type.</t>
        </is>
      </c>
      <c r="H182" s="23" t="n">
        <v>1</v>
      </c>
      <c r="I182" s="8">
        <f>IF(E182="","",IF(E182&gt;0,"Included","Excluded (N/A)"))</f>
        <v/>
      </c>
      <c r="J182" s="8" t="inlineStr">
        <is>
          <t>Leaf</t>
        </is>
      </c>
      <c r="K182" s="8" t="n"/>
      <c r="L182" s="8" t="n"/>
      <c r="M182" s="8">
        <f>IF(E182=1,1,0)</f>
        <v/>
      </c>
    </row>
    <row r="183">
      <c r="B183" s="17" t="inlineStr">
        <is>
          <t xml:space="preserve">  -&gt; Technical SEO rollup</t>
        </is>
      </c>
      <c r="J183" t="inlineStr">
        <is>
          <t>Sub-audit Rollup</t>
        </is>
      </c>
      <c r="L183" s="11">
        <f>IF(SUMPRODUCT(--(E179:E182&gt;0),H179:H182)=0,"N/A",SUMPRODUCT(--(E179:E182&gt;0),E179:E182,H179:H182)/(6*SUMPRODUCT(--(E179:E182&gt;0),H179:H182)))</f>
        <v/>
      </c>
    </row>
    <row r="184">
      <c r="B184" s="3" t="inlineStr">
        <is>
          <t>Technical AEO (weight 3.5)</t>
        </is>
      </c>
      <c r="J184" t="inlineStr">
        <is>
          <t>Sub-audit Header</t>
        </is>
      </c>
    </row>
    <row r="185">
      <c r="A185" s="8" t="inlineStr">
        <is>
          <t>Search Presence</t>
        </is>
      </c>
      <c r="B185" s="8" t="inlineStr">
        <is>
          <t>Technical AEO</t>
        </is>
      </c>
      <c r="C185" s="8" t="inlineStr">
        <is>
          <t>SEARCH-TECH_AEO-01</t>
        </is>
      </c>
      <c r="D185" s="15" t="inlineStr">
        <is>
          <t>Example leaf 1 for Technical AEO (illustrative placeholder - replaced by the real upstream Bee's finding at run time)</t>
        </is>
      </c>
      <c r="E185" s="23" t="n">
        <v>6</v>
      </c>
      <c r="F185" s="8" t="inlineStr">
        <is>
          <t>example-evidence-pointer.md#L1</t>
        </is>
      </c>
      <c r="G185" s="8" t="inlineStr">
        <is>
          <t>Illustrative justification text.</t>
        </is>
      </c>
      <c r="H185" s="23" t="n">
        <v>1</v>
      </c>
      <c r="I185" s="8">
        <f>IF(E185="","",IF(E185&gt;0,"Included","Excluded (N/A)"))</f>
        <v/>
      </c>
      <c r="J185" s="8" t="inlineStr">
        <is>
          <t>Leaf</t>
        </is>
      </c>
      <c r="K185" s="8" t="n"/>
      <c r="L185" s="8" t="n"/>
      <c r="M185" s="8">
        <f>IF(E185=1,1,0)</f>
        <v/>
      </c>
    </row>
    <row r="186">
      <c r="A186" s="8" t="inlineStr">
        <is>
          <t>Search Presence</t>
        </is>
      </c>
      <c r="B186" s="8" t="inlineStr">
        <is>
          <t>Technical AEO</t>
        </is>
      </c>
      <c r="C186" s="8" t="inlineStr">
        <is>
          <t>SEARCH-TECH_AEO-02</t>
        </is>
      </c>
      <c r="D186" s="15" t="inlineStr">
        <is>
          <t>Example leaf 2 for Technical AEO (illustrative placeholder - replaced by the real upstream Bee's finding at run time)</t>
        </is>
      </c>
      <c r="E186" s="23" t="n">
        <v>6</v>
      </c>
      <c r="F186" s="8" t="inlineStr">
        <is>
          <t>example-evidence-pointer.md#L1</t>
        </is>
      </c>
      <c r="G186" s="8" t="inlineStr">
        <is>
          <t>Illustrative justification text.</t>
        </is>
      </c>
      <c r="H186" s="23" t="n">
        <v>1</v>
      </c>
      <c r="I186" s="8">
        <f>IF(E186="","",IF(E186&gt;0,"Included","Excluded (N/A)"))</f>
        <v/>
      </c>
      <c r="J186" s="8" t="inlineStr">
        <is>
          <t>Leaf</t>
        </is>
      </c>
      <c r="K186" s="8" t="n"/>
      <c r="L186" s="8" t="n"/>
      <c r="M186" s="8">
        <f>IF(E186=1,1,0)</f>
        <v/>
      </c>
    </row>
    <row r="187">
      <c r="A187" s="8" t="inlineStr">
        <is>
          <t>Search Presence</t>
        </is>
      </c>
      <c r="B187" s="8" t="inlineStr">
        <is>
          <t>Technical AEO</t>
        </is>
      </c>
      <c r="C187" s="8" t="inlineStr">
        <is>
          <t>SEARCH-TECH_AEO-03</t>
        </is>
      </c>
      <c r="D187" s="15" t="inlineStr">
        <is>
          <t>Example leaf 3 for Technical AEO (illustrative placeholder - replaced by the real upstream Bee's finding at run time)</t>
        </is>
      </c>
      <c r="E187" s="23" t="n">
        <v>6</v>
      </c>
      <c r="F187" s="8" t="inlineStr">
        <is>
          <t>example-evidence-pointer.md#L1</t>
        </is>
      </c>
      <c r="G187" s="8" t="inlineStr">
        <is>
          <t>Illustrative justification text.</t>
        </is>
      </c>
      <c r="H187" s="23" t="n">
        <v>1</v>
      </c>
      <c r="I187" s="8">
        <f>IF(E187="","",IF(E187&gt;0,"Included","Excluded (N/A)"))</f>
        <v/>
      </c>
      <c r="J187" s="8" t="inlineStr">
        <is>
          <t>Leaf</t>
        </is>
      </c>
      <c r="K187" s="8" t="n"/>
      <c r="L187" s="8" t="n"/>
      <c r="M187" s="8">
        <f>IF(E187=1,1,0)</f>
        <v/>
      </c>
    </row>
    <row r="188">
      <c r="A188" s="8" t="inlineStr">
        <is>
          <t>Search Presence</t>
        </is>
      </c>
      <c r="B188" s="8" t="inlineStr">
        <is>
          <t>Technical AEO</t>
        </is>
      </c>
      <c r="C188" s="8" t="inlineStr">
        <is>
          <t>SEARCH-TECH_AEO-04</t>
        </is>
      </c>
      <c r="D188" s="15" t="inlineStr">
        <is>
          <t>Example leaf 4 for Technical AEO (illustrative - not applicable to this site type)</t>
        </is>
      </c>
      <c r="E188" s="23" t="n">
        <v>0</v>
      </c>
      <c r="F188" s="8" t="inlineStr">
        <is>
          <t>n/a</t>
        </is>
      </c>
      <c r="G188" s="8" t="inlineStr">
        <is>
          <t>Not applicable to this site type.</t>
        </is>
      </c>
      <c r="H188" s="23" t="n">
        <v>1</v>
      </c>
      <c r="I188" s="8">
        <f>IF(E188="","",IF(E188&gt;0,"Included","Excluded (N/A)"))</f>
        <v/>
      </c>
      <c r="J188" s="8" t="inlineStr">
        <is>
          <t>Leaf</t>
        </is>
      </c>
      <c r="K188" s="8" t="n"/>
      <c r="L188" s="8" t="n"/>
      <c r="M188" s="8">
        <f>IF(E188=1,1,0)</f>
        <v/>
      </c>
    </row>
    <row r="189">
      <c r="B189" s="17" t="inlineStr">
        <is>
          <t xml:space="preserve">  -&gt; Technical AEO rollup</t>
        </is>
      </c>
      <c r="J189" t="inlineStr">
        <is>
          <t>Sub-audit Rollup</t>
        </is>
      </c>
      <c r="L189" s="11">
        <f>IF(SUMPRODUCT(--(E185:E188&gt;0),H185:H188)=0,"N/A",SUMPRODUCT(--(E185:E188&gt;0),E185:E188,H185:H188)/(6*SUMPRODUCT(--(E185:E188&gt;0),H185:H188)))</f>
        <v/>
      </c>
    </row>
    <row r="190">
      <c r="B190" s="3" t="inlineStr">
        <is>
          <t>Subjective Copy Read (weight 2)</t>
        </is>
      </c>
      <c r="J190" t="inlineStr">
        <is>
          <t>Sub-audit Header</t>
        </is>
      </c>
    </row>
    <row r="191">
      <c r="A191" s="8" t="inlineStr">
        <is>
          <t>Search Presence</t>
        </is>
      </c>
      <c r="B191" s="8" t="inlineStr">
        <is>
          <t>Subjective Copy Read</t>
        </is>
      </c>
      <c r="C191" s="8" t="inlineStr">
        <is>
          <t>SEARCH-SUBJECTIVE_COPY-01</t>
        </is>
      </c>
      <c r="D191" s="15" t="inlineStr">
        <is>
          <t>Example leaf 1 for Subjective Copy Read (illustrative placeholder - replaced by the real upstream Bee's finding at run time)</t>
        </is>
      </c>
      <c r="E191" s="23" t="n">
        <v>6</v>
      </c>
      <c r="F191" s="8" t="inlineStr">
        <is>
          <t>example-evidence-pointer.md#L1</t>
        </is>
      </c>
      <c r="G191" s="8" t="inlineStr">
        <is>
          <t>Illustrative justification text.</t>
        </is>
      </c>
      <c r="H191" s="23" t="n">
        <v>1</v>
      </c>
      <c r="I191" s="8">
        <f>IF(E191="","",IF(E191&gt;0,"Included","Excluded (N/A)"))</f>
        <v/>
      </c>
      <c r="J191" s="8" t="inlineStr">
        <is>
          <t>Leaf</t>
        </is>
      </c>
      <c r="K191" s="8" t="n"/>
      <c r="L191" s="8" t="n"/>
      <c r="M191" s="8">
        <f>IF(E191=1,1,0)</f>
        <v/>
      </c>
    </row>
    <row r="192">
      <c r="A192" s="8" t="inlineStr">
        <is>
          <t>Search Presence</t>
        </is>
      </c>
      <c r="B192" s="8" t="inlineStr">
        <is>
          <t>Subjective Copy Read</t>
        </is>
      </c>
      <c r="C192" s="8" t="inlineStr">
        <is>
          <t>SEARCH-SUBJECTIVE_COPY-02</t>
        </is>
      </c>
      <c r="D192" s="15" t="inlineStr">
        <is>
          <t>Example leaf 2 for Subjective Copy Read (illustrative placeholder - replaced by the real upstream Bee's finding at run time)</t>
        </is>
      </c>
      <c r="E192" s="23" t="n">
        <v>6</v>
      </c>
      <c r="F192" s="8" t="inlineStr">
        <is>
          <t>example-evidence-pointer.md#L1</t>
        </is>
      </c>
      <c r="G192" s="8" t="inlineStr">
        <is>
          <t>Illustrative justification text.</t>
        </is>
      </c>
      <c r="H192" s="23" t="n">
        <v>1</v>
      </c>
      <c r="I192" s="8">
        <f>IF(E192="","",IF(E192&gt;0,"Included","Excluded (N/A)"))</f>
        <v/>
      </c>
      <c r="J192" s="8" t="inlineStr">
        <is>
          <t>Leaf</t>
        </is>
      </c>
      <c r="K192" s="8" t="n"/>
      <c r="L192" s="8" t="n"/>
      <c r="M192" s="8">
        <f>IF(E192=1,1,0)</f>
        <v/>
      </c>
    </row>
    <row r="193">
      <c r="A193" s="8" t="inlineStr">
        <is>
          <t>Search Presence</t>
        </is>
      </c>
      <c r="B193" s="8" t="inlineStr">
        <is>
          <t>Subjective Copy Read</t>
        </is>
      </c>
      <c r="C193" s="8" t="inlineStr">
        <is>
          <t>SEARCH-SUBJECTIVE_COPY-03</t>
        </is>
      </c>
      <c r="D193" s="15" t="inlineStr">
        <is>
          <t>Example leaf 3 for Subjective Copy Read (illustrative placeholder - replaced by the real upstream Bee's finding at run time)</t>
        </is>
      </c>
      <c r="E193" s="23" t="n">
        <v>6</v>
      </c>
      <c r="F193" s="8" t="inlineStr">
        <is>
          <t>example-evidence-pointer.md#L1</t>
        </is>
      </c>
      <c r="G193" s="8" t="inlineStr">
        <is>
          <t>Illustrative justification text.</t>
        </is>
      </c>
      <c r="H193" s="23" t="n">
        <v>1</v>
      </c>
      <c r="I193" s="8">
        <f>IF(E193="","",IF(E193&gt;0,"Included","Excluded (N/A)"))</f>
        <v/>
      </c>
      <c r="J193" s="8" t="inlineStr">
        <is>
          <t>Leaf</t>
        </is>
      </c>
      <c r="K193" s="8" t="n"/>
      <c r="L193" s="8" t="n"/>
      <c r="M193" s="8">
        <f>IF(E193=1,1,0)</f>
        <v/>
      </c>
    </row>
    <row r="194">
      <c r="A194" s="8" t="inlineStr">
        <is>
          <t>Search Presence</t>
        </is>
      </c>
      <c r="B194" s="8" t="inlineStr">
        <is>
          <t>Subjective Copy Read</t>
        </is>
      </c>
      <c r="C194" s="8" t="inlineStr">
        <is>
          <t>SEARCH-SUBJECTIVE_COPY-04</t>
        </is>
      </c>
      <c r="D194" s="15" t="inlineStr">
        <is>
          <t>Example leaf 4 for Subjective Copy Read (illustrative - not applicable to this site type)</t>
        </is>
      </c>
      <c r="E194" s="23" t="n">
        <v>0</v>
      </c>
      <c r="F194" s="8" t="inlineStr">
        <is>
          <t>n/a</t>
        </is>
      </c>
      <c r="G194" s="8" t="inlineStr">
        <is>
          <t>Not applicable to this site type.</t>
        </is>
      </c>
      <c r="H194" s="23" t="n">
        <v>1</v>
      </c>
      <c r="I194" s="8">
        <f>IF(E194="","",IF(E194&gt;0,"Included","Excluded (N/A)"))</f>
        <v/>
      </c>
      <c r="J194" s="8" t="inlineStr">
        <is>
          <t>Leaf</t>
        </is>
      </c>
      <c r="K194" s="8" t="n"/>
      <c r="L194" s="8" t="n"/>
      <c r="M194" s="8">
        <f>IF(E194=1,1,0)</f>
        <v/>
      </c>
    </row>
    <row r="195">
      <c r="B195" s="17" t="inlineStr">
        <is>
          <t xml:space="preserve">  -&gt; Subjective Copy Read rollup</t>
        </is>
      </c>
      <c r="J195" t="inlineStr">
        <is>
          <t>Sub-audit Rollup</t>
        </is>
      </c>
      <c r="L195" s="11">
        <f>IF(SUMPRODUCT(--(E191:E194&gt;0),H191:H194)=0,"N/A",SUMPRODUCT(--(E191:E194&gt;0),E191:E194,H191:H194)/(6*SUMPRODUCT(--(E191:E194&gt;0),H191:H194)))</f>
        <v/>
      </c>
    </row>
    <row r="196">
      <c r="B196" s="17" t="inlineStr">
        <is>
          <t>[mirror] Technical SEO</t>
        </is>
      </c>
      <c r="J196" t="inlineStr">
        <is>
          <t>Sub-audit Mirror</t>
        </is>
      </c>
      <c r="L196" s="24">
        <f>L183</f>
        <v/>
      </c>
    </row>
    <row r="197">
      <c r="B197" s="17" t="inlineStr">
        <is>
          <t>[mirror] Technical AEO</t>
        </is>
      </c>
      <c r="J197" t="inlineStr">
        <is>
          <t>Sub-audit Mirror</t>
        </is>
      </c>
      <c r="L197" s="24">
        <f>L189</f>
        <v/>
      </c>
    </row>
    <row r="198">
      <c r="B198" s="17" t="inlineStr">
        <is>
          <t>[mirror] Subjective Copy Read</t>
        </is>
      </c>
      <c r="J198" t="inlineStr">
        <is>
          <t>Sub-audit Mirror</t>
        </is>
      </c>
      <c r="L198" s="24">
        <f>L195</f>
        <v/>
      </c>
    </row>
    <row r="199">
      <c r="A199" s="3" t="inlineStr">
        <is>
          <t>Search Presence - CATEGORY ROLLUP</t>
        </is>
      </c>
      <c r="J199" t="inlineStr">
        <is>
          <t>Category Rollup</t>
        </is>
      </c>
      <c r="L199" s="25">
        <f>IF(SUM(SubWt_search)=0,"N/A",SUMPRODUCT(L196:L198,SubWt_search)/SUM(SubWt_search))</f>
        <v/>
      </c>
    </row>
    <row r="201">
      <c r="A201" s="18" t="inlineStr">
        <is>
          <t>Content Score</t>
        </is>
      </c>
      <c r="B201" s="21" t="n"/>
      <c r="C201" s="22" t="inlineStr">
        <is>
          <t>Weight: 6 pts  (='Rubric'!$C$24)</t>
        </is>
      </c>
      <c r="D201" s="21" t="n"/>
      <c r="E201" s="21" t="n"/>
      <c r="F201" s="21" t="n"/>
      <c r="G201" s="21" t="n"/>
      <c r="H201" s="21" t="n"/>
      <c r="I201" s="21" t="n"/>
      <c r="J201" s="21" t="inlineStr">
        <is>
          <t>Category Header</t>
        </is>
      </c>
      <c r="K201" s="21" t="n"/>
      <c r="L201" s="21" t="n"/>
      <c r="M201" s="21" t="n"/>
    </row>
    <row r="202">
      <c r="B202" s="3" t="inlineStr">
        <is>
          <t>Depth (weight 2.0)</t>
        </is>
      </c>
      <c r="J202" t="inlineStr">
        <is>
          <t>Sub-audit Header</t>
        </is>
      </c>
    </row>
    <row r="203">
      <c r="A203" s="8" t="inlineStr">
        <is>
          <t>Content Score</t>
        </is>
      </c>
      <c r="B203" s="8" t="inlineStr">
        <is>
          <t>Depth</t>
        </is>
      </c>
      <c r="C203" s="8" t="inlineStr">
        <is>
          <t>CONTENT-DEPTH-01</t>
        </is>
      </c>
      <c r="D203" s="15" t="inlineStr">
        <is>
          <t>Example leaf 1 for Depth (illustrative placeholder - replaced by the real upstream Bee's finding at run time)</t>
        </is>
      </c>
      <c r="E203" s="23" t="n">
        <v>6</v>
      </c>
      <c r="F203" s="8" t="inlineStr">
        <is>
          <t>example-evidence-pointer.md#L1</t>
        </is>
      </c>
      <c r="G203" s="8" t="inlineStr">
        <is>
          <t>Illustrative justification text.</t>
        </is>
      </c>
      <c r="H203" s="23" t="n">
        <v>1</v>
      </c>
      <c r="I203" s="8">
        <f>IF(E203="","",IF(E203&gt;0,"Included","Excluded (N/A)"))</f>
        <v/>
      </c>
      <c r="J203" s="8" t="inlineStr">
        <is>
          <t>Leaf</t>
        </is>
      </c>
      <c r="K203" s="8" t="n"/>
      <c r="L203" s="8" t="n"/>
      <c r="M203" s="8">
        <f>IF(E203=1,1,0)</f>
        <v/>
      </c>
    </row>
    <row r="204">
      <c r="A204" s="8" t="inlineStr">
        <is>
          <t>Content Score</t>
        </is>
      </c>
      <c r="B204" s="8" t="inlineStr">
        <is>
          <t>Depth</t>
        </is>
      </c>
      <c r="C204" s="8" t="inlineStr">
        <is>
          <t>CONTENT-DEPTH-02</t>
        </is>
      </c>
      <c r="D204" s="15" t="inlineStr">
        <is>
          <t>Example leaf 2 for Depth (illustrative placeholder - replaced by the real upstream Bee's finding at run time)</t>
        </is>
      </c>
      <c r="E204" s="23" t="n">
        <v>6</v>
      </c>
      <c r="F204" s="8" t="inlineStr">
        <is>
          <t>example-evidence-pointer.md#L1</t>
        </is>
      </c>
      <c r="G204" s="8" t="inlineStr">
        <is>
          <t>Illustrative justification text.</t>
        </is>
      </c>
      <c r="H204" s="23" t="n">
        <v>1</v>
      </c>
      <c r="I204" s="8">
        <f>IF(E204="","",IF(E204&gt;0,"Included","Excluded (N/A)"))</f>
        <v/>
      </c>
      <c r="J204" s="8" t="inlineStr">
        <is>
          <t>Leaf</t>
        </is>
      </c>
      <c r="K204" s="8" t="n"/>
      <c r="L204" s="8" t="n"/>
      <c r="M204" s="8">
        <f>IF(E204=1,1,0)</f>
        <v/>
      </c>
    </row>
    <row r="205">
      <c r="A205" s="8" t="inlineStr">
        <is>
          <t>Content Score</t>
        </is>
      </c>
      <c r="B205" s="8" t="inlineStr">
        <is>
          <t>Depth</t>
        </is>
      </c>
      <c r="C205" s="8" t="inlineStr">
        <is>
          <t>CONTENT-DEPTH-03</t>
        </is>
      </c>
      <c r="D205" s="15" t="inlineStr">
        <is>
          <t>Example leaf 3 for Depth (illustrative placeholder - replaced by the real upstream Bee's finding at run time)</t>
        </is>
      </c>
      <c r="E205" s="23" t="n">
        <v>6</v>
      </c>
      <c r="F205" s="8" t="inlineStr">
        <is>
          <t>example-evidence-pointer.md#L1</t>
        </is>
      </c>
      <c r="G205" s="8" t="inlineStr">
        <is>
          <t>Illustrative justification text.</t>
        </is>
      </c>
      <c r="H205" s="23" t="n">
        <v>1</v>
      </c>
      <c r="I205" s="8">
        <f>IF(E205="","",IF(E205&gt;0,"Included","Excluded (N/A)"))</f>
        <v/>
      </c>
      <c r="J205" s="8" t="inlineStr">
        <is>
          <t>Leaf</t>
        </is>
      </c>
      <c r="K205" s="8" t="n"/>
      <c r="L205" s="8" t="n"/>
      <c r="M205" s="8">
        <f>IF(E205=1,1,0)</f>
        <v/>
      </c>
    </row>
    <row r="206">
      <c r="A206" s="8" t="inlineStr">
        <is>
          <t>Content Score</t>
        </is>
      </c>
      <c r="B206" s="8" t="inlineStr">
        <is>
          <t>Depth</t>
        </is>
      </c>
      <c r="C206" s="8" t="inlineStr">
        <is>
          <t>CONTENT-DEPTH-04</t>
        </is>
      </c>
      <c r="D206" s="15" t="inlineStr">
        <is>
          <t>Example leaf 4 for Depth (illustrative - not applicable to this site type)</t>
        </is>
      </c>
      <c r="E206" s="23" t="n">
        <v>0</v>
      </c>
      <c r="F206" s="8" t="inlineStr">
        <is>
          <t>n/a</t>
        </is>
      </c>
      <c r="G206" s="8" t="inlineStr">
        <is>
          <t>Not applicable to this site type.</t>
        </is>
      </c>
      <c r="H206" s="23" t="n">
        <v>1</v>
      </c>
      <c r="I206" s="8">
        <f>IF(E206="","",IF(E206&gt;0,"Included","Excluded (N/A)"))</f>
        <v/>
      </c>
      <c r="J206" s="8" t="inlineStr">
        <is>
          <t>Leaf</t>
        </is>
      </c>
      <c r="K206" s="8" t="n"/>
      <c r="L206" s="8" t="n"/>
      <c r="M206" s="8">
        <f>IF(E206=1,1,0)</f>
        <v/>
      </c>
    </row>
    <row r="207">
      <c r="B207" s="17" t="inlineStr">
        <is>
          <t xml:space="preserve">  -&gt; Depth rollup</t>
        </is>
      </c>
      <c r="J207" t="inlineStr">
        <is>
          <t>Sub-audit Rollup</t>
        </is>
      </c>
      <c r="L207" s="11">
        <f>IF(SUMPRODUCT(--(E203:E206&gt;0),H203:H206)=0,"N/A",SUMPRODUCT(--(E203:E206&gt;0),E203:E206,H203:H206)/(6*SUMPRODUCT(--(E203:E206&gt;0),H203:H206)))</f>
        <v/>
      </c>
    </row>
    <row r="208">
      <c r="B208" s="3" t="inlineStr">
        <is>
          <t>Freshness (weight 2.0)</t>
        </is>
      </c>
      <c r="J208" t="inlineStr">
        <is>
          <t>Sub-audit Header</t>
        </is>
      </c>
    </row>
    <row r="209">
      <c r="A209" s="8" t="inlineStr">
        <is>
          <t>Content Score</t>
        </is>
      </c>
      <c r="B209" s="8" t="inlineStr">
        <is>
          <t>Freshness</t>
        </is>
      </c>
      <c r="C209" s="8" t="inlineStr">
        <is>
          <t>CONTENT-FRESHNESS-01</t>
        </is>
      </c>
      <c r="D209" s="15" t="inlineStr">
        <is>
          <t>Example leaf 1 for Freshness (illustrative placeholder - replaced by the real upstream Bee's finding at run time)</t>
        </is>
      </c>
      <c r="E209" s="23" t="n">
        <v>6</v>
      </c>
      <c r="F209" s="8" t="inlineStr">
        <is>
          <t>example-evidence-pointer.md#L1</t>
        </is>
      </c>
      <c r="G209" s="8" t="inlineStr">
        <is>
          <t>Illustrative justification text.</t>
        </is>
      </c>
      <c r="H209" s="23" t="n">
        <v>1</v>
      </c>
      <c r="I209" s="8">
        <f>IF(E209="","",IF(E209&gt;0,"Included","Excluded (N/A)"))</f>
        <v/>
      </c>
      <c r="J209" s="8" t="inlineStr">
        <is>
          <t>Leaf</t>
        </is>
      </c>
      <c r="K209" s="8" t="n"/>
      <c r="L209" s="8" t="n"/>
      <c r="M209" s="8">
        <f>IF(E209=1,1,0)</f>
        <v/>
      </c>
    </row>
    <row r="210">
      <c r="A210" s="8" t="inlineStr">
        <is>
          <t>Content Score</t>
        </is>
      </c>
      <c r="B210" s="8" t="inlineStr">
        <is>
          <t>Freshness</t>
        </is>
      </c>
      <c r="C210" s="8" t="inlineStr">
        <is>
          <t>CONTENT-FRESHNESS-02</t>
        </is>
      </c>
      <c r="D210" s="15" t="inlineStr">
        <is>
          <t>Example leaf 2 for Freshness (illustrative placeholder - replaced by the real upstream Bee's finding at run time)</t>
        </is>
      </c>
      <c r="E210" s="23" t="n">
        <v>6</v>
      </c>
      <c r="F210" s="8" t="inlineStr">
        <is>
          <t>example-evidence-pointer.md#L1</t>
        </is>
      </c>
      <c r="G210" s="8" t="inlineStr">
        <is>
          <t>Illustrative justification text.</t>
        </is>
      </c>
      <c r="H210" s="23" t="n">
        <v>1</v>
      </c>
      <c r="I210" s="8">
        <f>IF(E210="","",IF(E210&gt;0,"Included","Excluded (N/A)"))</f>
        <v/>
      </c>
      <c r="J210" s="8" t="inlineStr">
        <is>
          <t>Leaf</t>
        </is>
      </c>
      <c r="K210" s="8" t="n"/>
      <c r="L210" s="8" t="n"/>
      <c r="M210" s="8">
        <f>IF(E210=1,1,0)</f>
        <v/>
      </c>
    </row>
    <row r="211">
      <c r="A211" s="8" t="inlineStr">
        <is>
          <t>Content Score</t>
        </is>
      </c>
      <c r="B211" s="8" t="inlineStr">
        <is>
          <t>Freshness</t>
        </is>
      </c>
      <c r="C211" s="8" t="inlineStr">
        <is>
          <t>CONTENT-FRESHNESS-03</t>
        </is>
      </c>
      <c r="D211" s="15" t="inlineStr">
        <is>
          <t>Example leaf 3 for Freshness (illustrative placeholder - replaced by the real upstream Bee's finding at run time)</t>
        </is>
      </c>
      <c r="E211" s="23" t="n">
        <v>6</v>
      </c>
      <c r="F211" s="8" t="inlineStr">
        <is>
          <t>example-evidence-pointer.md#L1</t>
        </is>
      </c>
      <c r="G211" s="8" t="inlineStr">
        <is>
          <t>Illustrative justification text.</t>
        </is>
      </c>
      <c r="H211" s="23" t="n">
        <v>1</v>
      </c>
      <c r="I211" s="8">
        <f>IF(E211="","",IF(E211&gt;0,"Included","Excluded (N/A)"))</f>
        <v/>
      </c>
      <c r="J211" s="8" t="inlineStr">
        <is>
          <t>Leaf</t>
        </is>
      </c>
      <c r="K211" s="8" t="n"/>
      <c r="L211" s="8" t="n"/>
      <c r="M211" s="8">
        <f>IF(E211=1,1,0)</f>
        <v/>
      </c>
    </row>
    <row r="212">
      <c r="A212" s="8" t="inlineStr">
        <is>
          <t>Content Score</t>
        </is>
      </c>
      <c r="B212" s="8" t="inlineStr">
        <is>
          <t>Freshness</t>
        </is>
      </c>
      <c r="C212" s="8" t="inlineStr">
        <is>
          <t>CONTENT-FRESHNESS-04</t>
        </is>
      </c>
      <c r="D212" s="15" t="inlineStr">
        <is>
          <t>Example leaf 4 for Freshness (illustrative - not applicable to this site type)</t>
        </is>
      </c>
      <c r="E212" s="23" t="n">
        <v>0</v>
      </c>
      <c r="F212" s="8" t="inlineStr">
        <is>
          <t>n/a</t>
        </is>
      </c>
      <c r="G212" s="8" t="inlineStr">
        <is>
          <t>Not applicable to this site type.</t>
        </is>
      </c>
      <c r="H212" s="23" t="n">
        <v>1</v>
      </c>
      <c r="I212" s="8">
        <f>IF(E212="","",IF(E212&gt;0,"Included","Excluded (N/A)"))</f>
        <v/>
      </c>
      <c r="J212" s="8" t="inlineStr">
        <is>
          <t>Leaf</t>
        </is>
      </c>
      <c r="K212" s="8" t="n"/>
      <c r="L212" s="8" t="n"/>
      <c r="M212" s="8">
        <f>IF(E212=1,1,0)</f>
        <v/>
      </c>
    </row>
    <row r="213">
      <c r="B213" s="17" t="inlineStr">
        <is>
          <t xml:space="preserve">  -&gt; Freshness rollup</t>
        </is>
      </c>
      <c r="J213" t="inlineStr">
        <is>
          <t>Sub-audit Rollup</t>
        </is>
      </c>
      <c r="L213" s="11">
        <f>IF(SUMPRODUCT(--(E209:E212&gt;0),H209:H212)=0,"N/A",SUMPRODUCT(--(E209:E212&gt;0),E209:E212,H209:H212)/(6*SUMPRODUCT(--(E209:E212&gt;0),H209:H212)))</f>
        <v/>
      </c>
    </row>
    <row r="214">
      <c r="B214" s="3" t="inlineStr">
        <is>
          <t>Coverage (weight 2.0)</t>
        </is>
      </c>
      <c r="J214" t="inlineStr">
        <is>
          <t>Sub-audit Header</t>
        </is>
      </c>
    </row>
    <row r="215">
      <c r="A215" s="8" t="inlineStr">
        <is>
          <t>Content Score</t>
        </is>
      </c>
      <c r="B215" s="8" t="inlineStr">
        <is>
          <t>Coverage</t>
        </is>
      </c>
      <c r="C215" s="8" t="inlineStr">
        <is>
          <t>CONTENT-COVERAGE-01</t>
        </is>
      </c>
      <c r="D215" s="15" t="inlineStr">
        <is>
          <t>Example leaf 1 for Coverage (illustrative placeholder - replaced by the real upstream Bee's finding at run time)</t>
        </is>
      </c>
      <c r="E215" s="23" t="n">
        <v>6</v>
      </c>
      <c r="F215" s="8" t="inlineStr">
        <is>
          <t>example-evidence-pointer.md#L1</t>
        </is>
      </c>
      <c r="G215" s="8" t="inlineStr">
        <is>
          <t>Illustrative justification text.</t>
        </is>
      </c>
      <c r="H215" s="23" t="n">
        <v>1</v>
      </c>
      <c r="I215" s="8">
        <f>IF(E215="","",IF(E215&gt;0,"Included","Excluded (N/A)"))</f>
        <v/>
      </c>
      <c r="J215" s="8" t="inlineStr">
        <is>
          <t>Leaf</t>
        </is>
      </c>
      <c r="K215" s="8" t="n"/>
      <c r="L215" s="8" t="n"/>
      <c r="M215" s="8">
        <f>IF(E215=1,1,0)</f>
        <v/>
      </c>
    </row>
    <row r="216">
      <c r="A216" s="8" t="inlineStr">
        <is>
          <t>Content Score</t>
        </is>
      </c>
      <c r="B216" s="8" t="inlineStr">
        <is>
          <t>Coverage</t>
        </is>
      </c>
      <c r="C216" s="8" t="inlineStr">
        <is>
          <t>CONTENT-COVERAGE-02</t>
        </is>
      </c>
      <c r="D216" s="15" t="inlineStr">
        <is>
          <t>Example leaf 2 for Coverage (illustrative placeholder - replaced by the real upstream Bee's finding at run time)</t>
        </is>
      </c>
      <c r="E216" s="23" t="n">
        <v>6</v>
      </c>
      <c r="F216" s="8" t="inlineStr">
        <is>
          <t>example-evidence-pointer.md#L1</t>
        </is>
      </c>
      <c r="G216" s="8" t="inlineStr">
        <is>
          <t>Illustrative justification text.</t>
        </is>
      </c>
      <c r="H216" s="23" t="n">
        <v>1</v>
      </c>
      <c r="I216" s="8">
        <f>IF(E216="","",IF(E216&gt;0,"Included","Excluded (N/A)"))</f>
        <v/>
      </c>
      <c r="J216" s="8" t="inlineStr">
        <is>
          <t>Leaf</t>
        </is>
      </c>
      <c r="K216" s="8" t="n"/>
      <c r="L216" s="8" t="n"/>
      <c r="M216" s="8">
        <f>IF(E216=1,1,0)</f>
        <v/>
      </c>
    </row>
    <row r="217">
      <c r="A217" s="8" t="inlineStr">
        <is>
          <t>Content Score</t>
        </is>
      </c>
      <c r="B217" s="8" t="inlineStr">
        <is>
          <t>Coverage</t>
        </is>
      </c>
      <c r="C217" s="8" t="inlineStr">
        <is>
          <t>CONTENT-COVERAGE-03</t>
        </is>
      </c>
      <c r="D217" s="15" t="inlineStr">
        <is>
          <t>Example leaf 3 for Coverage (illustrative placeholder - replaced by the real upstream Bee's finding at run time)</t>
        </is>
      </c>
      <c r="E217" s="23" t="n">
        <v>6</v>
      </c>
      <c r="F217" s="8" t="inlineStr">
        <is>
          <t>example-evidence-pointer.md#L1</t>
        </is>
      </c>
      <c r="G217" s="8" t="inlineStr">
        <is>
          <t>Illustrative justification text.</t>
        </is>
      </c>
      <c r="H217" s="23" t="n">
        <v>1</v>
      </c>
      <c r="I217" s="8">
        <f>IF(E217="","",IF(E217&gt;0,"Included","Excluded (N/A)"))</f>
        <v/>
      </c>
      <c r="J217" s="8" t="inlineStr">
        <is>
          <t>Leaf</t>
        </is>
      </c>
      <c r="K217" s="8" t="n"/>
      <c r="L217" s="8" t="n"/>
      <c r="M217" s="8">
        <f>IF(E217=1,1,0)</f>
        <v/>
      </c>
    </row>
    <row r="218">
      <c r="A218" s="8" t="inlineStr">
        <is>
          <t>Content Score</t>
        </is>
      </c>
      <c r="B218" s="8" t="inlineStr">
        <is>
          <t>Coverage</t>
        </is>
      </c>
      <c r="C218" s="8" t="inlineStr">
        <is>
          <t>CONTENT-COVERAGE-04</t>
        </is>
      </c>
      <c r="D218" s="15" t="inlineStr">
        <is>
          <t>Example leaf 4 for Coverage (illustrative - not applicable to this site type)</t>
        </is>
      </c>
      <c r="E218" s="23" t="n">
        <v>0</v>
      </c>
      <c r="F218" s="8" t="inlineStr">
        <is>
          <t>n/a</t>
        </is>
      </c>
      <c r="G218" s="8" t="inlineStr">
        <is>
          <t>Not applicable to this site type.</t>
        </is>
      </c>
      <c r="H218" s="23" t="n">
        <v>1</v>
      </c>
      <c r="I218" s="8">
        <f>IF(E218="","",IF(E218&gt;0,"Included","Excluded (N/A)"))</f>
        <v/>
      </c>
      <c r="J218" s="8" t="inlineStr">
        <is>
          <t>Leaf</t>
        </is>
      </c>
      <c r="K218" s="8" t="n"/>
      <c r="L218" s="8" t="n"/>
      <c r="M218" s="8">
        <f>IF(E218=1,1,0)</f>
        <v/>
      </c>
    </row>
    <row r="219">
      <c r="B219" s="17" t="inlineStr">
        <is>
          <t xml:space="preserve">  -&gt; Coverage rollup</t>
        </is>
      </c>
      <c r="J219" t="inlineStr">
        <is>
          <t>Sub-audit Rollup</t>
        </is>
      </c>
      <c r="L219" s="11">
        <f>IF(SUMPRODUCT(--(E215:E218&gt;0),H215:H218)=0,"N/A",SUMPRODUCT(--(E215:E218&gt;0),E215:E218,H215:H218)/(6*SUMPRODUCT(--(E215:E218&gt;0),H215:H218)))</f>
        <v/>
      </c>
    </row>
    <row r="220">
      <c r="B220" s="17" t="inlineStr">
        <is>
          <t>[mirror] Depth</t>
        </is>
      </c>
      <c r="J220" t="inlineStr">
        <is>
          <t>Sub-audit Mirror</t>
        </is>
      </c>
      <c r="L220" s="24">
        <f>L207</f>
        <v/>
      </c>
    </row>
    <row r="221">
      <c r="B221" s="17" t="inlineStr">
        <is>
          <t>[mirror] Freshness</t>
        </is>
      </c>
      <c r="J221" t="inlineStr">
        <is>
          <t>Sub-audit Mirror</t>
        </is>
      </c>
      <c r="L221" s="24">
        <f>L213</f>
        <v/>
      </c>
    </row>
    <row r="222">
      <c r="B222" s="17" t="inlineStr">
        <is>
          <t>[mirror] Coverage</t>
        </is>
      </c>
      <c r="J222" t="inlineStr">
        <is>
          <t>Sub-audit Mirror</t>
        </is>
      </c>
      <c r="L222" s="24">
        <f>L219</f>
        <v/>
      </c>
    </row>
    <row r="223">
      <c r="A223" s="3" t="inlineStr">
        <is>
          <t>Content Score - CATEGORY ROLLUP</t>
        </is>
      </c>
      <c r="J223" t="inlineStr">
        <is>
          <t>Category Rollup</t>
        </is>
      </c>
      <c r="L223" s="25">
        <f>IF(SUM(SubWt_content)=0,"N/A",SUMPRODUCT(L220:L222,SubWt_content)/SUM(SubWt_content))</f>
        <v/>
      </c>
    </row>
    <row r="227" ht="18" customHeight="1">
      <c r="A227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M2"/>
    <mergeCell ref="A1:M1"/>
    <mergeCell ref="A227:M227"/>
  </mergeCells>
  <conditionalFormatting sqref="E5:E225">
    <cfRule type="expression" priority="1" dxfId="2">
      <formula>AND(E5=0,E5&lt;&gt;"")</formula>
    </cfRule>
    <cfRule type="colorScale" priority="2">
      <colorScale>
        <cfvo type="num" val="1"/>
        <cfvo type="num" val="3.5"/>
        <cfvo type="num" val="6"/>
        <color rgb="00F8696B"/>
        <color rgb="00FFEB84"/>
        <color rgb="0063BE7B"/>
      </colorScale>
    </cfRule>
  </conditionalFormatting>
  <conditionalFormatting sqref="L5:L2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dataValidations count="1">
    <dataValidation sqref="E5:E225" showDropDown="0" showInputMessage="0" showErrorMessage="0" allowBlank="1" errorTitle="Invalid score" error="Score must be a whole number 0-6." type="whole" operator="between">
      <formula1>0</formula1>
      <formula2>6</formula2>
    </dataValidation>
  </dataValidations>
  <hyperlinks>
    <hyperlink xmlns:r="http://schemas.openxmlformats.org/officeDocument/2006/relationships" ref="A227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4" customWidth="1" min="3" max="3"/>
    <col width="4" customWidth="1" min="4" max="4"/>
    <col width="4" customWidth="1" min="5" max="5"/>
  </cols>
  <sheetData>
    <row r="2" ht="28" customHeight="1">
      <c r="A2" s="1" t="inlineStr">
        <is>
          <t>Audit Tree</t>
        </is>
      </c>
    </row>
    <row r="4">
      <c r="B4" s="26" t="inlineStr">
        <is>
          <t>This template consolidates the full leaf -&gt; sub-audit -&gt; category hierarchy into the 'Scorecard' sheet rather than duplicating it on a second sheet, so there is exactly one place the rollup formulas live and one place to audit them. This sheet name exists to satisfy build plan section 4.4's sheet inventory; its content is the design decision, documented in guides/03-nesting-structure-design.md, not an omission. Go to 'Scorecard' for the full hierarchy, every leaf, its score, weight, evidence pointer, and justification.</t>
        </is>
      </c>
    </row>
    <row r="5"/>
    <row r="6"/>
    <row r="7"/>
    <row r="8"/>
    <row r="9"/>
    <row r="10"/>
    <row r="12" ht="18" customHeight="1">
      <c r="A12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E2"/>
    <mergeCell ref="A12:E12"/>
    <mergeCell ref="B4:D10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42" customWidth="1" min="4" max="4"/>
    <col width="9" customWidth="1" min="5" max="5"/>
    <col width="26" customWidth="1" min="6" max="6"/>
    <col width="30" customWidth="1" min="7" max="7"/>
    <col width="9" customWidth="1" min="8" max="8"/>
    <col width="16" customWidth="1" min="9" max="9"/>
    <col width="18" customWidth="1" min="10" max="10"/>
    <col width="3" customWidth="1" min="11" max="11"/>
    <col width="11" customWidth="1" min="12" max="12"/>
    <col width="6" customWidth="1" min="13" max="13"/>
  </cols>
  <sheetData>
    <row r="1" ht="28" customHeight="1">
      <c r="A1" s="1" t="inlineStr">
        <is>
          <t>Security - Detail View</t>
        </is>
      </c>
    </row>
    <row r="2">
      <c r="A2" s="2" t="inlineStr">
        <is>
          <t>Live-linked view of Scorecard rows 5-55. Edit scores on 'Scorecard'; this sheet mirrors, it does not recompute.</t>
        </is>
      </c>
    </row>
    <row r="4">
      <c r="A4" s="7" t="inlineStr">
        <is>
          <t>Category</t>
        </is>
      </c>
      <c r="B4" s="7" t="inlineStr">
        <is>
          <t>Sub-audit</t>
        </is>
      </c>
      <c r="C4" s="7" t="inlineStr">
        <is>
          <t>Leaf ID</t>
        </is>
      </c>
      <c r="D4" s="7" t="inlineStr">
        <is>
          <t>Description</t>
        </is>
      </c>
      <c r="E4" s="7" t="inlineStr">
        <is>
          <t>Score (0-6)</t>
        </is>
      </c>
      <c r="F4" s="7" t="inlineStr">
        <is>
          <t>Evidence pointer</t>
        </is>
      </c>
      <c r="G4" s="7" t="inlineStr">
        <is>
          <t>Justification</t>
        </is>
      </c>
      <c r="H4" s="7" t="inlineStr">
        <is>
          <t>Weight</t>
        </is>
      </c>
      <c r="I4" s="7" t="inlineStr">
        <is>
          <t>Included?</t>
        </is>
      </c>
      <c r="J4" s="7" t="inlineStr">
        <is>
          <t>Row type</t>
        </is>
      </c>
      <c r="K4" s="7" t="inlineStr"/>
      <c r="L4" s="7" t="inlineStr">
        <is>
          <t>Rollup %</t>
        </is>
      </c>
      <c r="M4" s="7" t="inlineStr"/>
    </row>
    <row r="5">
      <c r="A5">
        <f>Scorecard!A5</f>
        <v/>
      </c>
      <c r="B5">
        <f>Scorecard!B5</f>
        <v/>
      </c>
      <c r="C5">
        <f>Scorecard!C5</f>
        <v/>
      </c>
      <c r="D5">
        <f>Scorecard!D5</f>
        <v/>
      </c>
      <c r="E5">
        <f>Scorecard!E5</f>
        <v/>
      </c>
      <c r="F5">
        <f>Scorecard!F5</f>
        <v/>
      </c>
      <c r="G5">
        <f>Scorecard!G5</f>
        <v/>
      </c>
      <c r="H5">
        <f>Scorecard!H5</f>
        <v/>
      </c>
      <c r="I5">
        <f>Scorecard!I5</f>
        <v/>
      </c>
      <c r="J5">
        <f>Scorecard!J5</f>
        <v/>
      </c>
      <c r="K5">
        <f>Scorecard!K5</f>
        <v/>
      </c>
      <c r="L5">
        <f>Scorecard!L5</f>
        <v/>
      </c>
    </row>
    <row r="6">
      <c r="A6">
        <f>Scorecard!A6</f>
        <v/>
      </c>
      <c r="B6">
        <f>Scorecard!B6</f>
        <v/>
      </c>
      <c r="C6">
        <f>Scorecard!C6</f>
        <v/>
      </c>
      <c r="D6">
        <f>Scorecard!D6</f>
        <v/>
      </c>
      <c r="E6">
        <f>Scorecard!E6</f>
        <v/>
      </c>
      <c r="F6">
        <f>Scorecard!F6</f>
        <v/>
      </c>
      <c r="G6">
        <f>Scorecard!G6</f>
        <v/>
      </c>
      <c r="H6">
        <f>Scorecard!H6</f>
        <v/>
      </c>
      <c r="I6">
        <f>Scorecard!I6</f>
        <v/>
      </c>
      <c r="J6">
        <f>Scorecard!J6</f>
        <v/>
      </c>
      <c r="K6">
        <f>Scorecard!K6</f>
        <v/>
      </c>
      <c r="L6">
        <f>Scorecard!L6</f>
        <v/>
      </c>
    </row>
    <row r="7">
      <c r="A7">
        <f>Scorecard!A7</f>
        <v/>
      </c>
      <c r="B7">
        <f>Scorecard!B7</f>
        <v/>
      </c>
      <c r="C7">
        <f>Scorecard!C7</f>
        <v/>
      </c>
      <c r="D7">
        <f>Scorecard!D7</f>
        <v/>
      </c>
      <c r="E7">
        <f>Scorecard!E7</f>
        <v/>
      </c>
      <c r="F7">
        <f>Scorecard!F7</f>
        <v/>
      </c>
      <c r="G7">
        <f>Scorecard!G7</f>
        <v/>
      </c>
      <c r="H7">
        <f>Scorecard!H7</f>
        <v/>
      </c>
      <c r="I7">
        <f>Scorecard!I7</f>
        <v/>
      </c>
      <c r="J7">
        <f>Scorecard!J7</f>
        <v/>
      </c>
      <c r="K7">
        <f>Scorecard!K7</f>
        <v/>
      </c>
      <c r="L7">
        <f>Scorecard!L7</f>
        <v/>
      </c>
    </row>
    <row r="8">
      <c r="A8">
        <f>Scorecard!A8</f>
        <v/>
      </c>
      <c r="B8">
        <f>Scorecard!B8</f>
        <v/>
      </c>
      <c r="C8">
        <f>Scorecard!C8</f>
        <v/>
      </c>
      <c r="D8">
        <f>Scorecard!D8</f>
        <v/>
      </c>
      <c r="E8">
        <f>Scorecard!E8</f>
        <v/>
      </c>
      <c r="F8">
        <f>Scorecard!F8</f>
        <v/>
      </c>
      <c r="G8">
        <f>Scorecard!G8</f>
        <v/>
      </c>
      <c r="H8">
        <f>Scorecard!H8</f>
        <v/>
      </c>
      <c r="I8">
        <f>Scorecard!I8</f>
        <v/>
      </c>
      <c r="J8">
        <f>Scorecard!J8</f>
        <v/>
      </c>
      <c r="K8">
        <f>Scorecard!K8</f>
        <v/>
      </c>
      <c r="L8">
        <f>Scorecard!L8</f>
        <v/>
      </c>
    </row>
    <row r="9">
      <c r="A9">
        <f>Scorecard!A9</f>
        <v/>
      </c>
      <c r="B9">
        <f>Scorecard!B9</f>
        <v/>
      </c>
      <c r="C9">
        <f>Scorecard!C9</f>
        <v/>
      </c>
      <c r="D9">
        <f>Scorecard!D9</f>
        <v/>
      </c>
      <c r="E9">
        <f>Scorecard!E9</f>
        <v/>
      </c>
      <c r="F9">
        <f>Scorecard!F9</f>
        <v/>
      </c>
      <c r="G9">
        <f>Scorecard!G9</f>
        <v/>
      </c>
      <c r="H9">
        <f>Scorecard!H9</f>
        <v/>
      </c>
      <c r="I9">
        <f>Scorecard!I9</f>
        <v/>
      </c>
      <c r="J9">
        <f>Scorecard!J9</f>
        <v/>
      </c>
      <c r="K9">
        <f>Scorecard!K9</f>
        <v/>
      </c>
      <c r="L9">
        <f>Scorecard!L9</f>
        <v/>
      </c>
    </row>
    <row r="10">
      <c r="A10">
        <f>Scorecard!A10</f>
        <v/>
      </c>
      <c r="B10">
        <f>Scorecard!B10</f>
        <v/>
      </c>
      <c r="C10">
        <f>Scorecard!C10</f>
        <v/>
      </c>
      <c r="D10">
        <f>Scorecard!D10</f>
        <v/>
      </c>
      <c r="E10">
        <f>Scorecard!E10</f>
        <v/>
      </c>
      <c r="F10">
        <f>Scorecard!F10</f>
        <v/>
      </c>
      <c r="G10">
        <f>Scorecard!G10</f>
        <v/>
      </c>
      <c r="H10">
        <f>Scorecard!H10</f>
        <v/>
      </c>
      <c r="I10">
        <f>Scorecard!I10</f>
        <v/>
      </c>
      <c r="J10">
        <f>Scorecard!J10</f>
        <v/>
      </c>
      <c r="K10">
        <f>Scorecard!K10</f>
        <v/>
      </c>
      <c r="L10">
        <f>Scorecard!L10</f>
        <v/>
      </c>
    </row>
    <row r="11">
      <c r="A11">
        <f>Scorecard!A11</f>
        <v/>
      </c>
      <c r="B11">
        <f>Scorecard!B11</f>
        <v/>
      </c>
      <c r="C11">
        <f>Scorecard!C11</f>
        <v/>
      </c>
      <c r="D11">
        <f>Scorecard!D11</f>
        <v/>
      </c>
      <c r="E11">
        <f>Scorecard!E11</f>
        <v/>
      </c>
      <c r="F11">
        <f>Scorecard!F11</f>
        <v/>
      </c>
      <c r="G11">
        <f>Scorecard!G11</f>
        <v/>
      </c>
      <c r="H11">
        <f>Scorecard!H11</f>
        <v/>
      </c>
      <c r="I11">
        <f>Scorecard!I11</f>
        <v/>
      </c>
      <c r="J11">
        <f>Scorecard!J11</f>
        <v/>
      </c>
      <c r="K11">
        <f>Scorecard!K11</f>
        <v/>
      </c>
      <c r="L11">
        <f>Scorecard!L11</f>
        <v/>
      </c>
    </row>
    <row r="12">
      <c r="A12">
        <f>Scorecard!A12</f>
        <v/>
      </c>
      <c r="B12">
        <f>Scorecard!B12</f>
        <v/>
      </c>
      <c r="C12">
        <f>Scorecard!C12</f>
        <v/>
      </c>
      <c r="D12">
        <f>Scorecard!D12</f>
        <v/>
      </c>
      <c r="E12">
        <f>Scorecard!E12</f>
        <v/>
      </c>
      <c r="F12">
        <f>Scorecard!F12</f>
        <v/>
      </c>
      <c r="G12">
        <f>Scorecard!G12</f>
        <v/>
      </c>
      <c r="H12">
        <f>Scorecard!H12</f>
        <v/>
      </c>
      <c r="I12">
        <f>Scorecard!I12</f>
        <v/>
      </c>
      <c r="J12">
        <f>Scorecard!J12</f>
        <v/>
      </c>
      <c r="K12">
        <f>Scorecard!K12</f>
        <v/>
      </c>
      <c r="L12">
        <f>Scorecard!L12</f>
        <v/>
      </c>
    </row>
    <row r="13">
      <c r="A13">
        <f>Scorecard!A13</f>
        <v/>
      </c>
      <c r="B13">
        <f>Scorecard!B13</f>
        <v/>
      </c>
      <c r="C13">
        <f>Scorecard!C13</f>
        <v/>
      </c>
      <c r="D13">
        <f>Scorecard!D13</f>
        <v/>
      </c>
      <c r="E13">
        <f>Scorecard!E13</f>
        <v/>
      </c>
      <c r="F13">
        <f>Scorecard!F13</f>
        <v/>
      </c>
      <c r="G13">
        <f>Scorecard!G13</f>
        <v/>
      </c>
      <c r="H13">
        <f>Scorecard!H13</f>
        <v/>
      </c>
      <c r="I13">
        <f>Scorecard!I13</f>
        <v/>
      </c>
      <c r="J13">
        <f>Scorecard!J13</f>
        <v/>
      </c>
      <c r="K13">
        <f>Scorecard!K13</f>
        <v/>
      </c>
      <c r="L13">
        <f>Scorecard!L13</f>
        <v/>
      </c>
    </row>
    <row r="14">
      <c r="A14">
        <f>Scorecard!A14</f>
        <v/>
      </c>
      <c r="B14">
        <f>Scorecard!B14</f>
        <v/>
      </c>
      <c r="C14">
        <f>Scorecard!C14</f>
        <v/>
      </c>
      <c r="D14">
        <f>Scorecard!D14</f>
        <v/>
      </c>
      <c r="E14">
        <f>Scorecard!E14</f>
        <v/>
      </c>
      <c r="F14">
        <f>Scorecard!F14</f>
        <v/>
      </c>
      <c r="G14">
        <f>Scorecard!G14</f>
        <v/>
      </c>
      <c r="H14">
        <f>Scorecard!H14</f>
        <v/>
      </c>
      <c r="I14">
        <f>Scorecard!I14</f>
        <v/>
      </c>
      <c r="J14">
        <f>Scorecard!J14</f>
        <v/>
      </c>
      <c r="K14">
        <f>Scorecard!K14</f>
        <v/>
      </c>
      <c r="L14">
        <f>Scorecard!L14</f>
        <v/>
      </c>
    </row>
    <row r="15">
      <c r="A15">
        <f>Scorecard!A15</f>
        <v/>
      </c>
      <c r="B15">
        <f>Scorecard!B15</f>
        <v/>
      </c>
      <c r="C15">
        <f>Scorecard!C15</f>
        <v/>
      </c>
      <c r="D15">
        <f>Scorecard!D15</f>
        <v/>
      </c>
      <c r="E15">
        <f>Scorecard!E15</f>
        <v/>
      </c>
      <c r="F15">
        <f>Scorecard!F15</f>
        <v/>
      </c>
      <c r="G15">
        <f>Scorecard!G15</f>
        <v/>
      </c>
      <c r="H15">
        <f>Scorecard!H15</f>
        <v/>
      </c>
      <c r="I15">
        <f>Scorecard!I15</f>
        <v/>
      </c>
      <c r="J15">
        <f>Scorecard!J15</f>
        <v/>
      </c>
      <c r="K15">
        <f>Scorecard!K15</f>
        <v/>
      </c>
      <c r="L15">
        <f>Scorecard!L15</f>
        <v/>
      </c>
    </row>
    <row r="16">
      <c r="A16">
        <f>Scorecard!A16</f>
        <v/>
      </c>
      <c r="B16">
        <f>Scorecard!B16</f>
        <v/>
      </c>
      <c r="C16">
        <f>Scorecard!C16</f>
        <v/>
      </c>
      <c r="D16">
        <f>Scorecard!D16</f>
        <v/>
      </c>
      <c r="E16">
        <f>Scorecard!E16</f>
        <v/>
      </c>
      <c r="F16">
        <f>Scorecard!F16</f>
        <v/>
      </c>
      <c r="G16">
        <f>Scorecard!G16</f>
        <v/>
      </c>
      <c r="H16">
        <f>Scorecard!H16</f>
        <v/>
      </c>
      <c r="I16">
        <f>Scorecard!I16</f>
        <v/>
      </c>
      <c r="J16">
        <f>Scorecard!J16</f>
        <v/>
      </c>
      <c r="K16">
        <f>Scorecard!K16</f>
        <v/>
      </c>
      <c r="L16">
        <f>Scorecard!L16</f>
        <v/>
      </c>
    </row>
    <row r="17">
      <c r="A17">
        <f>Scorecard!A17</f>
        <v/>
      </c>
      <c r="B17">
        <f>Scorecard!B17</f>
        <v/>
      </c>
      <c r="C17">
        <f>Scorecard!C17</f>
        <v/>
      </c>
      <c r="D17">
        <f>Scorecard!D17</f>
        <v/>
      </c>
      <c r="E17">
        <f>Scorecard!E17</f>
        <v/>
      </c>
      <c r="F17">
        <f>Scorecard!F17</f>
        <v/>
      </c>
      <c r="G17">
        <f>Scorecard!G17</f>
        <v/>
      </c>
      <c r="H17">
        <f>Scorecard!H17</f>
        <v/>
      </c>
      <c r="I17">
        <f>Scorecard!I17</f>
        <v/>
      </c>
      <c r="J17">
        <f>Scorecard!J17</f>
        <v/>
      </c>
      <c r="K17">
        <f>Scorecard!K17</f>
        <v/>
      </c>
      <c r="L17">
        <f>Scorecard!L17</f>
        <v/>
      </c>
    </row>
    <row r="18">
      <c r="A18">
        <f>Scorecard!A18</f>
        <v/>
      </c>
      <c r="B18">
        <f>Scorecard!B18</f>
        <v/>
      </c>
      <c r="C18">
        <f>Scorecard!C18</f>
        <v/>
      </c>
      <c r="D18">
        <f>Scorecard!D18</f>
        <v/>
      </c>
      <c r="E18">
        <f>Scorecard!E18</f>
        <v/>
      </c>
      <c r="F18">
        <f>Scorecard!F18</f>
        <v/>
      </c>
      <c r="G18">
        <f>Scorecard!G18</f>
        <v/>
      </c>
      <c r="H18">
        <f>Scorecard!H18</f>
        <v/>
      </c>
      <c r="I18">
        <f>Scorecard!I18</f>
        <v/>
      </c>
      <c r="J18">
        <f>Scorecard!J18</f>
        <v/>
      </c>
      <c r="K18">
        <f>Scorecard!K18</f>
        <v/>
      </c>
      <c r="L18">
        <f>Scorecard!L18</f>
        <v/>
      </c>
    </row>
    <row r="19">
      <c r="A19">
        <f>Scorecard!A19</f>
        <v/>
      </c>
      <c r="B19">
        <f>Scorecard!B19</f>
        <v/>
      </c>
      <c r="C19">
        <f>Scorecard!C19</f>
        <v/>
      </c>
      <c r="D19">
        <f>Scorecard!D19</f>
        <v/>
      </c>
      <c r="E19">
        <f>Scorecard!E19</f>
        <v/>
      </c>
      <c r="F19">
        <f>Scorecard!F19</f>
        <v/>
      </c>
      <c r="G19">
        <f>Scorecard!G19</f>
        <v/>
      </c>
      <c r="H19">
        <f>Scorecard!H19</f>
        <v/>
      </c>
      <c r="I19">
        <f>Scorecard!I19</f>
        <v/>
      </c>
      <c r="J19">
        <f>Scorecard!J19</f>
        <v/>
      </c>
      <c r="K19">
        <f>Scorecard!K19</f>
        <v/>
      </c>
      <c r="L19">
        <f>Scorecard!L19</f>
        <v/>
      </c>
    </row>
    <row r="20">
      <c r="A20">
        <f>Scorecard!A20</f>
        <v/>
      </c>
      <c r="B20">
        <f>Scorecard!B20</f>
        <v/>
      </c>
      <c r="C20">
        <f>Scorecard!C20</f>
        <v/>
      </c>
      <c r="D20">
        <f>Scorecard!D20</f>
        <v/>
      </c>
      <c r="E20">
        <f>Scorecard!E20</f>
        <v/>
      </c>
      <c r="F20">
        <f>Scorecard!F20</f>
        <v/>
      </c>
      <c r="G20">
        <f>Scorecard!G20</f>
        <v/>
      </c>
      <c r="H20">
        <f>Scorecard!H20</f>
        <v/>
      </c>
      <c r="I20">
        <f>Scorecard!I20</f>
        <v/>
      </c>
      <c r="J20">
        <f>Scorecard!J20</f>
        <v/>
      </c>
      <c r="K20">
        <f>Scorecard!K20</f>
        <v/>
      </c>
      <c r="L20">
        <f>Scorecard!L20</f>
        <v/>
      </c>
    </row>
    <row r="21">
      <c r="A21">
        <f>Scorecard!A21</f>
        <v/>
      </c>
      <c r="B21">
        <f>Scorecard!B21</f>
        <v/>
      </c>
      <c r="C21">
        <f>Scorecard!C21</f>
        <v/>
      </c>
      <c r="D21">
        <f>Scorecard!D21</f>
        <v/>
      </c>
      <c r="E21">
        <f>Scorecard!E21</f>
        <v/>
      </c>
      <c r="F21">
        <f>Scorecard!F21</f>
        <v/>
      </c>
      <c r="G21">
        <f>Scorecard!G21</f>
        <v/>
      </c>
      <c r="H21">
        <f>Scorecard!H21</f>
        <v/>
      </c>
      <c r="I21">
        <f>Scorecard!I21</f>
        <v/>
      </c>
      <c r="J21">
        <f>Scorecard!J21</f>
        <v/>
      </c>
      <c r="K21">
        <f>Scorecard!K21</f>
        <v/>
      </c>
      <c r="L21">
        <f>Scorecard!L21</f>
        <v/>
      </c>
    </row>
    <row r="22">
      <c r="A22">
        <f>Scorecard!A22</f>
        <v/>
      </c>
      <c r="B22">
        <f>Scorecard!B22</f>
        <v/>
      </c>
      <c r="C22">
        <f>Scorecard!C22</f>
        <v/>
      </c>
      <c r="D22">
        <f>Scorecard!D22</f>
        <v/>
      </c>
      <c r="E22">
        <f>Scorecard!E22</f>
        <v/>
      </c>
      <c r="F22">
        <f>Scorecard!F22</f>
        <v/>
      </c>
      <c r="G22">
        <f>Scorecard!G22</f>
        <v/>
      </c>
      <c r="H22">
        <f>Scorecard!H22</f>
        <v/>
      </c>
      <c r="I22">
        <f>Scorecard!I22</f>
        <v/>
      </c>
      <c r="J22">
        <f>Scorecard!J22</f>
        <v/>
      </c>
      <c r="K22">
        <f>Scorecard!K22</f>
        <v/>
      </c>
      <c r="L22">
        <f>Scorecard!L22</f>
        <v/>
      </c>
    </row>
    <row r="23">
      <c r="A23">
        <f>Scorecard!A23</f>
        <v/>
      </c>
      <c r="B23">
        <f>Scorecard!B23</f>
        <v/>
      </c>
      <c r="C23">
        <f>Scorecard!C23</f>
        <v/>
      </c>
      <c r="D23">
        <f>Scorecard!D23</f>
        <v/>
      </c>
      <c r="E23">
        <f>Scorecard!E23</f>
        <v/>
      </c>
      <c r="F23">
        <f>Scorecard!F23</f>
        <v/>
      </c>
      <c r="G23">
        <f>Scorecard!G23</f>
        <v/>
      </c>
      <c r="H23">
        <f>Scorecard!H23</f>
        <v/>
      </c>
      <c r="I23">
        <f>Scorecard!I23</f>
        <v/>
      </c>
      <c r="J23">
        <f>Scorecard!J23</f>
        <v/>
      </c>
      <c r="K23">
        <f>Scorecard!K23</f>
        <v/>
      </c>
      <c r="L23">
        <f>Scorecard!L23</f>
        <v/>
      </c>
    </row>
    <row r="24">
      <c r="A24">
        <f>Scorecard!A24</f>
        <v/>
      </c>
      <c r="B24">
        <f>Scorecard!B24</f>
        <v/>
      </c>
      <c r="C24">
        <f>Scorecard!C24</f>
        <v/>
      </c>
      <c r="D24">
        <f>Scorecard!D24</f>
        <v/>
      </c>
      <c r="E24">
        <f>Scorecard!E24</f>
        <v/>
      </c>
      <c r="F24">
        <f>Scorecard!F24</f>
        <v/>
      </c>
      <c r="G24">
        <f>Scorecard!G24</f>
        <v/>
      </c>
      <c r="H24">
        <f>Scorecard!H24</f>
        <v/>
      </c>
      <c r="I24">
        <f>Scorecard!I24</f>
        <v/>
      </c>
      <c r="J24">
        <f>Scorecard!J24</f>
        <v/>
      </c>
      <c r="K24">
        <f>Scorecard!K24</f>
        <v/>
      </c>
      <c r="L24">
        <f>Scorecard!L24</f>
        <v/>
      </c>
    </row>
    <row r="25">
      <c r="A25">
        <f>Scorecard!A25</f>
        <v/>
      </c>
      <c r="B25">
        <f>Scorecard!B25</f>
        <v/>
      </c>
      <c r="C25">
        <f>Scorecard!C25</f>
        <v/>
      </c>
      <c r="D25">
        <f>Scorecard!D25</f>
        <v/>
      </c>
      <c r="E25">
        <f>Scorecard!E25</f>
        <v/>
      </c>
      <c r="F25">
        <f>Scorecard!F25</f>
        <v/>
      </c>
      <c r="G25">
        <f>Scorecard!G25</f>
        <v/>
      </c>
      <c r="H25">
        <f>Scorecard!H25</f>
        <v/>
      </c>
      <c r="I25">
        <f>Scorecard!I25</f>
        <v/>
      </c>
      <c r="J25">
        <f>Scorecard!J25</f>
        <v/>
      </c>
      <c r="K25">
        <f>Scorecard!K25</f>
        <v/>
      </c>
      <c r="L25">
        <f>Scorecard!L25</f>
        <v/>
      </c>
    </row>
    <row r="26">
      <c r="A26">
        <f>Scorecard!A26</f>
        <v/>
      </c>
      <c r="B26">
        <f>Scorecard!B26</f>
        <v/>
      </c>
      <c r="C26">
        <f>Scorecard!C26</f>
        <v/>
      </c>
      <c r="D26">
        <f>Scorecard!D26</f>
        <v/>
      </c>
      <c r="E26">
        <f>Scorecard!E26</f>
        <v/>
      </c>
      <c r="F26">
        <f>Scorecard!F26</f>
        <v/>
      </c>
      <c r="G26">
        <f>Scorecard!G26</f>
        <v/>
      </c>
      <c r="H26">
        <f>Scorecard!H26</f>
        <v/>
      </c>
      <c r="I26">
        <f>Scorecard!I26</f>
        <v/>
      </c>
      <c r="J26">
        <f>Scorecard!J26</f>
        <v/>
      </c>
      <c r="K26">
        <f>Scorecard!K26</f>
        <v/>
      </c>
      <c r="L26">
        <f>Scorecard!L26</f>
        <v/>
      </c>
    </row>
    <row r="27">
      <c r="A27">
        <f>Scorecard!A27</f>
        <v/>
      </c>
      <c r="B27">
        <f>Scorecard!B27</f>
        <v/>
      </c>
      <c r="C27">
        <f>Scorecard!C27</f>
        <v/>
      </c>
      <c r="D27">
        <f>Scorecard!D27</f>
        <v/>
      </c>
      <c r="E27">
        <f>Scorecard!E27</f>
        <v/>
      </c>
      <c r="F27">
        <f>Scorecard!F27</f>
        <v/>
      </c>
      <c r="G27">
        <f>Scorecard!G27</f>
        <v/>
      </c>
      <c r="H27">
        <f>Scorecard!H27</f>
        <v/>
      </c>
      <c r="I27">
        <f>Scorecard!I27</f>
        <v/>
      </c>
      <c r="J27">
        <f>Scorecard!J27</f>
        <v/>
      </c>
      <c r="K27">
        <f>Scorecard!K27</f>
        <v/>
      </c>
      <c r="L27">
        <f>Scorecard!L27</f>
        <v/>
      </c>
    </row>
    <row r="28">
      <c r="A28">
        <f>Scorecard!A28</f>
        <v/>
      </c>
      <c r="B28">
        <f>Scorecard!B28</f>
        <v/>
      </c>
      <c r="C28">
        <f>Scorecard!C28</f>
        <v/>
      </c>
      <c r="D28">
        <f>Scorecard!D28</f>
        <v/>
      </c>
      <c r="E28">
        <f>Scorecard!E28</f>
        <v/>
      </c>
      <c r="F28">
        <f>Scorecard!F28</f>
        <v/>
      </c>
      <c r="G28">
        <f>Scorecard!G28</f>
        <v/>
      </c>
      <c r="H28">
        <f>Scorecard!H28</f>
        <v/>
      </c>
      <c r="I28">
        <f>Scorecard!I28</f>
        <v/>
      </c>
      <c r="J28">
        <f>Scorecard!J28</f>
        <v/>
      </c>
      <c r="K28">
        <f>Scorecard!K28</f>
        <v/>
      </c>
      <c r="L28">
        <f>Scorecard!L28</f>
        <v/>
      </c>
    </row>
    <row r="29">
      <c r="A29">
        <f>Scorecard!A29</f>
        <v/>
      </c>
      <c r="B29">
        <f>Scorecard!B29</f>
        <v/>
      </c>
      <c r="C29">
        <f>Scorecard!C29</f>
        <v/>
      </c>
      <c r="D29">
        <f>Scorecard!D29</f>
        <v/>
      </c>
      <c r="E29">
        <f>Scorecard!E29</f>
        <v/>
      </c>
      <c r="F29">
        <f>Scorecard!F29</f>
        <v/>
      </c>
      <c r="G29">
        <f>Scorecard!G29</f>
        <v/>
      </c>
      <c r="H29">
        <f>Scorecard!H29</f>
        <v/>
      </c>
      <c r="I29">
        <f>Scorecard!I29</f>
        <v/>
      </c>
      <c r="J29">
        <f>Scorecard!J29</f>
        <v/>
      </c>
      <c r="K29">
        <f>Scorecard!K29</f>
        <v/>
      </c>
      <c r="L29">
        <f>Scorecard!L29</f>
        <v/>
      </c>
    </row>
    <row r="30">
      <c r="A30">
        <f>Scorecard!A30</f>
        <v/>
      </c>
      <c r="B30">
        <f>Scorecard!B30</f>
        <v/>
      </c>
      <c r="C30">
        <f>Scorecard!C30</f>
        <v/>
      </c>
      <c r="D30">
        <f>Scorecard!D30</f>
        <v/>
      </c>
      <c r="E30">
        <f>Scorecard!E30</f>
        <v/>
      </c>
      <c r="F30">
        <f>Scorecard!F30</f>
        <v/>
      </c>
      <c r="G30">
        <f>Scorecard!G30</f>
        <v/>
      </c>
      <c r="H30">
        <f>Scorecard!H30</f>
        <v/>
      </c>
      <c r="I30">
        <f>Scorecard!I30</f>
        <v/>
      </c>
      <c r="J30">
        <f>Scorecard!J30</f>
        <v/>
      </c>
      <c r="K30">
        <f>Scorecard!K30</f>
        <v/>
      </c>
      <c r="L30">
        <f>Scorecard!L30</f>
        <v/>
      </c>
    </row>
    <row r="31">
      <c r="A31">
        <f>Scorecard!A31</f>
        <v/>
      </c>
      <c r="B31">
        <f>Scorecard!B31</f>
        <v/>
      </c>
      <c r="C31">
        <f>Scorecard!C31</f>
        <v/>
      </c>
      <c r="D31">
        <f>Scorecard!D31</f>
        <v/>
      </c>
      <c r="E31">
        <f>Scorecard!E31</f>
        <v/>
      </c>
      <c r="F31">
        <f>Scorecard!F31</f>
        <v/>
      </c>
      <c r="G31">
        <f>Scorecard!G31</f>
        <v/>
      </c>
      <c r="H31">
        <f>Scorecard!H31</f>
        <v/>
      </c>
      <c r="I31">
        <f>Scorecard!I31</f>
        <v/>
      </c>
      <c r="J31">
        <f>Scorecard!J31</f>
        <v/>
      </c>
      <c r="K31">
        <f>Scorecard!K31</f>
        <v/>
      </c>
      <c r="L31">
        <f>Scorecard!L31</f>
        <v/>
      </c>
    </row>
    <row r="32">
      <c r="A32">
        <f>Scorecard!A32</f>
        <v/>
      </c>
      <c r="B32">
        <f>Scorecard!B32</f>
        <v/>
      </c>
      <c r="C32">
        <f>Scorecard!C32</f>
        <v/>
      </c>
      <c r="D32">
        <f>Scorecard!D32</f>
        <v/>
      </c>
      <c r="E32">
        <f>Scorecard!E32</f>
        <v/>
      </c>
      <c r="F32">
        <f>Scorecard!F32</f>
        <v/>
      </c>
      <c r="G32">
        <f>Scorecard!G32</f>
        <v/>
      </c>
      <c r="H32">
        <f>Scorecard!H32</f>
        <v/>
      </c>
      <c r="I32">
        <f>Scorecard!I32</f>
        <v/>
      </c>
      <c r="J32">
        <f>Scorecard!J32</f>
        <v/>
      </c>
      <c r="K32">
        <f>Scorecard!K32</f>
        <v/>
      </c>
      <c r="L32">
        <f>Scorecard!L32</f>
        <v/>
      </c>
    </row>
    <row r="33">
      <c r="A33">
        <f>Scorecard!A33</f>
        <v/>
      </c>
      <c r="B33">
        <f>Scorecard!B33</f>
        <v/>
      </c>
      <c r="C33">
        <f>Scorecard!C33</f>
        <v/>
      </c>
      <c r="D33">
        <f>Scorecard!D33</f>
        <v/>
      </c>
      <c r="E33">
        <f>Scorecard!E33</f>
        <v/>
      </c>
      <c r="F33">
        <f>Scorecard!F33</f>
        <v/>
      </c>
      <c r="G33">
        <f>Scorecard!G33</f>
        <v/>
      </c>
      <c r="H33">
        <f>Scorecard!H33</f>
        <v/>
      </c>
      <c r="I33">
        <f>Scorecard!I33</f>
        <v/>
      </c>
      <c r="J33">
        <f>Scorecard!J33</f>
        <v/>
      </c>
      <c r="K33">
        <f>Scorecard!K33</f>
        <v/>
      </c>
      <c r="L33">
        <f>Scorecard!L33</f>
        <v/>
      </c>
    </row>
    <row r="34">
      <c r="A34">
        <f>Scorecard!A34</f>
        <v/>
      </c>
      <c r="B34">
        <f>Scorecard!B34</f>
        <v/>
      </c>
      <c r="C34">
        <f>Scorecard!C34</f>
        <v/>
      </c>
      <c r="D34">
        <f>Scorecard!D34</f>
        <v/>
      </c>
      <c r="E34">
        <f>Scorecard!E34</f>
        <v/>
      </c>
      <c r="F34">
        <f>Scorecard!F34</f>
        <v/>
      </c>
      <c r="G34">
        <f>Scorecard!G34</f>
        <v/>
      </c>
      <c r="H34">
        <f>Scorecard!H34</f>
        <v/>
      </c>
      <c r="I34">
        <f>Scorecard!I34</f>
        <v/>
      </c>
      <c r="J34">
        <f>Scorecard!J34</f>
        <v/>
      </c>
      <c r="K34">
        <f>Scorecard!K34</f>
        <v/>
      </c>
      <c r="L34">
        <f>Scorecard!L34</f>
        <v/>
      </c>
    </row>
    <row r="35">
      <c r="A35">
        <f>Scorecard!A35</f>
        <v/>
      </c>
      <c r="B35">
        <f>Scorecard!B35</f>
        <v/>
      </c>
      <c r="C35">
        <f>Scorecard!C35</f>
        <v/>
      </c>
      <c r="D35">
        <f>Scorecard!D35</f>
        <v/>
      </c>
      <c r="E35">
        <f>Scorecard!E35</f>
        <v/>
      </c>
      <c r="F35">
        <f>Scorecard!F35</f>
        <v/>
      </c>
      <c r="G35">
        <f>Scorecard!G35</f>
        <v/>
      </c>
      <c r="H35">
        <f>Scorecard!H35</f>
        <v/>
      </c>
      <c r="I35">
        <f>Scorecard!I35</f>
        <v/>
      </c>
      <c r="J35">
        <f>Scorecard!J35</f>
        <v/>
      </c>
      <c r="K35">
        <f>Scorecard!K35</f>
        <v/>
      </c>
      <c r="L35">
        <f>Scorecard!L35</f>
        <v/>
      </c>
    </row>
    <row r="36">
      <c r="A36">
        <f>Scorecard!A36</f>
        <v/>
      </c>
      <c r="B36">
        <f>Scorecard!B36</f>
        <v/>
      </c>
      <c r="C36">
        <f>Scorecard!C36</f>
        <v/>
      </c>
      <c r="D36">
        <f>Scorecard!D36</f>
        <v/>
      </c>
      <c r="E36">
        <f>Scorecard!E36</f>
        <v/>
      </c>
      <c r="F36">
        <f>Scorecard!F36</f>
        <v/>
      </c>
      <c r="G36">
        <f>Scorecard!G36</f>
        <v/>
      </c>
      <c r="H36">
        <f>Scorecard!H36</f>
        <v/>
      </c>
      <c r="I36">
        <f>Scorecard!I36</f>
        <v/>
      </c>
      <c r="J36">
        <f>Scorecard!J36</f>
        <v/>
      </c>
      <c r="K36">
        <f>Scorecard!K36</f>
        <v/>
      </c>
      <c r="L36">
        <f>Scorecard!L36</f>
        <v/>
      </c>
    </row>
    <row r="37">
      <c r="A37">
        <f>Scorecard!A37</f>
        <v/>
      </c>
      <c r="B37">
        <f>Scorecard!B37</f>
        <v/>
      </c>
      <c r="C37">
        <f>Scorecard!C37</f>
        <v/>
      </c>
      <c r="D37">
        <f>Scorecard!D37</f>
        <v/>
      </c>
      <c r="E37">
        <f>Scorecard!E37</f>
        <v/>
      </c>
      <c r="F37">
        <f>Scorecard!F37</f>
        <v/>
      </c>
      <c r="G37">
        <f>Scorecard!G37</f>
        <v/>
      </c>
      <c r="H37">
        <f>Scorecard!H37</f>
        <v/>
      </c>
      <c r="I37">
        <f>Scorecard!I37</f>
        <v/>
      </c>
      <c r="J37">
        <f>Scorecard!J37</f>
        <v/>
      </c>
      <c r="K37">
        <f>Scorecard!K37</f>
        <v/>
      </c>
      <c r="L37">
        <f>Scorecard!L37</f>
        <v/>
      </c>
    </row>
    <row r="38">
      <c r="A38">
        <f>Scorecard!A38</f>
        <v/>
      </c>
      <c r="B38">
        <f>Scorecard!B38</f>
        <v/>
      </c>
      <c r="C38">
        <f>Scorecard!C38</f>
        <v/>
      </c>
      <c r="D38">
        <f>Scorecard!D38</f>
        <v/>
      </c>
      <c r="E38">
        <f>Scorecard!E38</f>
        <v/>
      </c>
      <c r="F38">
        <f>Scorecard!F38</f>
        <v/>
      </c>
      <c r="G38">
        <f>Scorecard!G38</f>
        <v/>
      </c>
      <c r="H38">
        <f>Scorecard!H38</f>
        <v/>
      </c>
      <c r="I38">
        <f>Scorecard!I38</f>
        <v/>
      </c>
      <c r="J38">
        <f>Scorecard!J38</f>
        <v/>
      </c>
      <c r="K38">
        <f>Scorecard!K38</f>
        <v/>
      </c>
      <c r="L38">
        <f>Scorecard!L38</f>
        <v/>
      </c>
    </row>
    <row r="39">
      <c r="A39">
        <f>Scorecard!A39</f>
        <v/>
      </c>
      <c r="B39">
        <f>Scorecard!B39</f>
        <v/>
      </c>
      <c r="C39">
        <f>Scorecard!C39</f>
        <v/>
      </c>
      <c r="D39">
        <f>Scorecard!D39</f>
        <v/>
      </c>
      <c r="E39">
        <f>Scorecard!E39</f>
        <v/>
      </c>
      <c r="F39">
        <f>Scorecard!F39</f>
        <v/>
      </c>
      <c r="G39">
        <f>Scorecard!G39</f>
        <v/>
      </c>
      <c r="H39">
        <f>Scorecard!H39</f>
        <v/>
      </c>
      <c r="I39">
        <f>Scorecard!I39</f>
        <v/>
      </c>
      <c r="J39">
        <f>Scorecard!J39</f>
        <v/>
      </c>
      <c r="K39">
        <f>Scorecard!K39</f>
        <v/>
      </c>
      <c r="L39">
        <f>Scorecard!L39</f>
        <v/>
      </c>
    </row>
    <row r="40">
      <c r="A40">
        <f>Scorecard!A40</f>
        <v/>
      </c>
      <c r="B40">
        <f>Scorecard!B40</f>
        <v/>
      </c>
      <c r="C40">
        <f>Scorecard!C40</f>
        <v/>
      </c>
      <c r="D40">
        <f>Scorecard!D40</f>
        <v/>
      </c>
      <c r="E40">
        <f>Scorecard!E40</f>
        <v/>
      </c>
      <c r="F40">
        <f>Scorecard!F40</f>
        <v/>
      </c>
      <c r="G40">
        <f>Scorecard!G40</f>
        <v/>
      </c>
      <c r="H40">
        <f>Scorecard!H40</f>
        <v/>
      </c>
      <c r="I40">
        <f>Scorecard!I40</f>
        <v/>
      </c>
      <c r="J40">
        <f>Scorecard!J40</f>
        <v/>
      </c>
      <c r="K40">
        <f>Scorecard!K40</f>
        <v/>
      </c>
      <c r="L40">
        <f>Scorecard!L40</f>
        <v/>
      </c>
    </row>
    <row r="41">
      <c r="A41">
        <f>Scorecard!A41</f>
        <v/>
      </c>
      <c r="B41">
        <f>Scorecard!B41</f>
        <v/>
      </c>
      <c r="C41">
        <f>Scorecard!C41</f>
        <v/>
      </c>
      <c r="D41">
        <f>Scorecard!D41</f>
        <v/>
      </c>
      <c r="E41">
        <f>Scorecard!E41</f>
        <v/>
      </c>
      <c r="F41">
        <f>Scorecard!F41</f>
        <v/>
      </c>
      <c r="G41">
        <f>Scorecard!G41</f>
        <v/>
      </c>
      <c r="H41">
        <f>Scorecard!H41</f>
        <v/>
      </c>
      <c r="I41">
        <f>Scorecard!I41</f>
        <v/>
      </c>
      <c r="J41">
        <f>Scorecard!J41</f>
        <v/>
      </c>
      <c r="K41">
        <f>Scorecard!K41</f>
        <v/>
      </c>
      <c r="L41">
        <f>Scorecard!L41</f>
        <v/>
      </c>
    </row>
    <row r="42">
      <c r="A42">
        <f>Scorecard!A42</f>
        <v/>
      </c>
      <c r="B42">
        <f>Scorecard!B42</f>
        <v/>
      </c>
      <c r="C42">
        <f>Scorecard!C42</f>
        <v/>
      </c>
      <c r="D42">
        <f>Scorecard!D42</f>
        <v/>
      </c>
      <c r="E42">
        <f>Scorecard!E42</f>
        <v/>
      </c>
      <c r="F42">
        <f>Scorecard!F42</f>
        <v/>
      </c>
      <c r="G42">
        <f>Scorecard!G42</f>
        <v/>
      </c>
      <c r="H42">
        <f>Scorecard!H42</f>
        <v/>
      </c>
      <c r="I42">
        <f>Scorecard!I42</f>
        <v/>
      </c>
      <c r="J42">
        <f>Scorecard!J42</f>
        <v/>
      </c>
      <c r="K42">
        <f>Scorecard!K42</f>
        <v/>
      </c>
      <c r="L42">
        <f>Scorecard!L42</f>
        <v/>
      </c>
    </row>
    <row r="43">
      <c r="A43">
        <f>Scorecard!A43</f>
        <v/>
      </c>
      <c r="B43">
        <f>Scorecard!B43</f>
        <v/>
      </c>
      <c r="C43">
        <f>Scorecard!C43</f>
        <v/>
      </c>
      <c r="D43">
        <f>Scorecard!D43</f>
        <v/>
      </c>
      <c r="E43">
        <f>Scorecard!E43</f>
        <v/>
      </c>
      <c r="F43">
        <f>Scorecard!F43</f>
        <v/>
      </c>
      <c r="G43">
        <f>Scorecard!G43</f>
        <v/>
      </c>
      <c r="H43">
        <f>Scorecard!H43</f>
        <v/>
      </c>
      <c r="I43">
        <f>Scorecard!I43</f>
        <v/>
      </c>
      <c r="J43">
        <f>Scorecard!J43</f>
        <v/>
      </c>
      <c r="K43">
        <f>Scorecard!K43</f>
        <v/>
      </c>
      <c r="L43">
        <f>Scorecard!L43</f>
        <v/>
      </c>
    </row>
    <row r="44">
      <c r="A44">
        <f>Scorecard!A44</f>
        <v/>
      </c>
      <c r="B44">
        <f>Scorecard!B44</f>
        <v/>
      </c>
      <c r="C44">
        <f>Scorecard!C44</f>
        <v/>
      </c>
      <c r="D44">
        <f>Scorecard!D44</f>
        <v/>
      </c>
      <c r="E44">
        <f>Scorecard!E44</f>
        <v/>
      </c>
      <c r="F44">
        <f>Scorecard!F44</f>
        <v/>
      </c>
      <c r="G44">
        <f>Scorecard!G44</f>
        <v/>
      </c>
      <c r="H44">
        <f>Scorecard!H44</f>
        <v/>
      </c>
      <c r="I44">
        <f>Scorecard!I44</f>
        <v/>
      </c>
      <c r="J44">
        <f>Scorecard!J44</f>
        <v/>
      </c>
      <c r="K44">
        <f>Scorecard!K44</f>
        <v/>
      </c>
      <c r="L44">
        <f>Scorecard!L44</f>
        <v/>
      </c>
    </row>
    <row r="45">
      <c r="A45">
        <f>Scorecard!A45</f>
        <v/>
      </c>
      <c r="B45">
        <f>Scorecard!B45</f>
        <v/>
      </c>
      <c r="C45">
        <f>Scorecard!C45</f>
        <v/>
      </c>
      <c r="D45">
        <f>Scorecard!D45</f>
        <v/>
      </c>
      <c r="E45">
        <f>Scorecard!E45</f>
        <v/>
      </c>
      <c r="F45">
        <f>Scorecard!F45</f>
        <v/>
      </c>
      <c r="G45">
        <f>Scorecard!G45</f>
        <v/>
      </c>
      <c r="H45">
        <f>Scorecard!H45</f>
        <v/>
      </c>
      <c r="I45">
        <f>Scorecard!I45</f>
        <v/>
      </c>
      <c r="J45">
        <f>Scorecard!J45</f>
        <v/>
      </c>
      <c r="K45">
        <f>Scorecard!K45</f>
        <v/>
      </c>
      <c r="L45">
        <f>Scorecard!L45</f>
        <v/>
      </c>
    </row>
    <row r="46">
      <c r="A46">
        <f>Scorecard!A46</f>
        <v/>
      </c>
      <c r="B46">
        <f>Scorecard!B46</f>
        <v/>
      </c>
      <c r="C46">
        <f>Scorecard!C46</f>
        <v/>
      </c>
      <c r="D46">
        <f>Scorecard!D46</f>
        <v/>
      </c>
      <c r="E46">
        <f>Scorecard!E46</f>
        <v/>
      </c>
      <c r="F46">
        <f>Scorecard!F46</f>
        <v/>
      </c>
      <c r="G46">
        <f>Scorecard!G46</f>
        <v/>
      </c>
      <c r="H46">
        <f>Scorecard!H46</f>
        <v/>
      </c>
      <c r="I46">
        <f>Scorecard!I46</f>
        <v/>
      </c>
      <c r="J46">
        <f>Scorecard!J46</f>
        <v/>
      </c>
      <c r="K46">
        <f>Scorecard!K46</f>
        <v/>
      </c>
      <c r="L46">
        <f>Scorecard!L46</f>
        <v/>
      </c>
    </row>
    <row r="47">
      <c r="A47">
        <f>Scorecard!A47</f>
        <v/>
      </c>
      <c r="B47">
        <f>Scorecard!B47</f>
        <v/>
      </c>
      <c r="C47">
        <f>Scorecard!C47</f>
        <v/>
      </c>
      <c r="D47">
        <f>Scorecard!D47</f>
        <v/>
      </c>
      <c r="E47">
        <f>Scorecard!E47</f>
        <v/>
      </c>
      <c r="F47">
        <f>Scorecard!F47</f>
        <v/>
      </c>
      <c r="G47">
        <f>Scorecard!G47</f>
        <v/>
      </c>
      <c r="H47">
        <f>Scorecard!H47</f>
        <v/>
      </c>
      <c r="I47">
        <f>Scorecard!I47</f>
        <v/>
      </c>
      <c r="J47">
        <f>Scorecard!J47</f>
        <v/>
      </c>
      <c r="K47">
        <f>Scorecard!K47</f>
        <v/>
      </c>
      <c r="L47">
        <f>Scorecard!L47</f>
        <v/>
      </c>
    </row>
    <row r="48">
      <c r="A48">
        <f>Scorecard!A48</f>
        <v/>
      </c>
      <c r="B48">
        <f>Scorecard!B48</f>
        <v/>
      </c>
      <c r="C48">
        <f>Scorecard!C48</f>
        <v/>
      </c>
      <c r="D48">
        <f>Scorecard!D48</f>
        <v/>
      </c>
      <c r="E48">
        <f>Scorecard!E48</f>
        <v/>
      </c>
      <c r="F48">
        <f>Scorecard!F48</f>
        <v/>
      </c>
      <c r="G48">
        <f>Scorecard!G48</f>
        <v/>
      </c>
      <c r="H48">
        <f>Scorecard!H48</f>
        <v/>
      </c>
      <c r="I48">
        <f>Scorecard!I48</f>
        <v/>
      </c>
      <c r="J48">
        <f>Scorecard!J48</f>
        <v/>
      </c>
      <c r="K48">
        <f>Scorecard!K48</f>
        <v/>
      </c>
      <c r="L48">
        <f>Scorecard!L48</f>
        <v/>
      </c>
    </row>
    <row r="49">
      <c r="A49">
        <f>Scorecard!A49</f>
        <v/>
      </c>
      <c r="B49">
        <f>Scorecard!B49</f>
        <v/>
      </c>
      <c r="C49">
        <f>Scorecard!C49</f>
        <v/>
      </c>
      <c r="D49">
        <f>Scorecard!D49</f>
        <v/>
      </c>
      <c r="E49">
        <f>Scorecard!E49</f>
        <v/>
      </c>
      <c r="F49">
        <f>Scorecard!F49</f>
        <v/>
      </c>
      <c r="G49">
        <f>Scorecard!G49</f>
        <v/>
      </c>
      <c r="H49">
        <f>Scorecard!H49</f>
        <v/>
      </c>
      <c r="I49">
        <f>Scorecard!I49</f>
        <v/>
      </c>
      <c r="J49">
        <f>Scorecard!J49</f>
        <v/>
      </c>
      <c r="K49">
        <f>Scorecard!K49</f>
        <v/>
      </c>
      <c r="L49">
        <f>Scorecard!L49</f>
        <v/>
      </c>
    </row>
    <row r="50">
      <c r="A50">
        <f>Scorecard!A50</f>
        <v/>
      </c>
      <c r="B50">
        <f>Scorecard!B50</f>
        <v/>
      </c>
      <c r="C50">
        <f>Scorecard!C50</f>
        <v/>
      </c>
      <c r="D50">
        <f>Scorecard!D50</f>
        <v/>
      </c>
      <c r="E50">
        <f>Scorecard!E50</f>
        <v/>
      </c>
      <c r="F50">
        <f>Scorecard!F50</f>
        <v/>
      </c>
      <c r="G50">
        <f>Scorecard!G50</f>
        <v/>
      </c>
      <c r="H50">
        <f>Scorecard!H50</f>
        <v/>
      </c>
      <c r="I50">
        <f>Scorecard!I50</f>
        <v/>
      </c>
      <c r="J50">
        <f>Scorecard!J50</f>
        <v/>
      </c>
      <c r="K50">
        <f>Scorecard!K50</f>
        <v/>
      </c>
      <c r="L50">
        <f>Scorecard!L50</f>
        <v/>
      </c>
    </row>
    <row r="51">
      <c r="A51">
        <f>Scorecard!A51</f>
        <v/>
      </c>
      <c r="B51">
        <f>Scorecard!B51</f>
        <v/>
      </c>
      <c r="C51">
        <f>Scorecard!C51</f>
        <v/>
      </c>
      <c r="D51">
        <f>Scorecard!D51</f>
        <v/>
      </c>
      <c r="E51">
        <f>Scorecard!E51</f>
        <v/>
      </c>
      <c r="F51">
        <f>Scorecard!F51</f>
        <v/>
      </c>
      <c r="G51">
        <f>Scorecard!G51</f>
        <v/>
      </c>
      <c r="H51">
        <f>Scorecard!H51</f>
        <v/>
      </c>
      <c r="I51">
        <f>Scorecard!I51</f>
        <v/>
      </c>
      <c r="J51">
        <f>Scorecard!J51</f>
        <v/>
      </c>
      <c r="K51">
        <f>Scorecard!K51</f>
        <v/>
      </c>
      <c r="L51">
        <f>Scorecard!L51</f>
        <v/>
      </c>
    </row>
    <row r="52">
      <c r="A52">
        <f>Scorecard!A52</f>
        <v/>
      </c>
      <c r="B52">
        <f>Scorecard!B52</f>
        <v/>
      </c>
      <c r="C52">
        <f>Scorecard!C52</f>
        <v/>
      </c>
      <c r="D52">
        <f>Scorecard!D52</f>
        <v/>
      </c>
      <c r="E52">
        <f>Scorecard!E52</f>
        <v/>
      </c>
      <c r="F52">
        <f>Scorecard!F52</f>
        <v/>
      </c>
      <c r="G52">
        <f>Scorecard!G52</f>
        <v/>
      </c>
      <c r="H52">
        <f>Scorecard!H52</f>
        <v/>
      </c>
      <c r="I52">
        <f>Scorecard!I52</f>
        <v/>
      </c>
      <c r="J52">
        <f>Scorecard!J52</f>
        <v/>
      </c>
      <c r="K52">
        <f>Scorecard!K52</f>
        <v/>
      </c>
      <c r="L52">
        <f>Scorecard!L52</f>
        <v/>
      </c>
    </row>
    <row r="53">
      <c r="A53">
        <f>Scorecard!A53</f>
        <v/>
      </c>
      <c r="B53">
        <f>Scorecard!B53</f>
        <v/>
      </c>
      <c r="C53">
        <f>Scorecard!C53</f>
        <v/>
      </c>
      <c r="D53">
        <f>Scorecard!D53</f>
        <v/>
      </c>
      <c r="E53">
        <f>Scorecard!E53</f>
        <v/>
      </c>
      <c r="F53">
        <f>Scorecard!F53</f>
        <v/>
      </c>
      <c r="G53">
        <f>Scorecard!G53</f>
        <v/>
      </c>
      <c r="H53">
        <f>Scorecard!H53</f>
        <v/>
      </c>
      <c r="I53">
        <f>Scorecard!I53</f>
        <v/>
      </c>
      <c r="J53">
        <f>Scorecard!J53</f>
        <v/>
      </c>
      <c r="K53">
        <f>Scorecard!K53</f>
        <v/>
      </c>
      <c r="L53">
        <f>Scorecard!L53</f>
        <v/>
      </c>
    </row>
    <row r="54">
      <c r="A54">
        <f>Scorecard!A54</f>
        <v/>
      </c>
      <c r="B54">
        <f>Scorecard!B54</f>
        <v/>
      </c>
      <c r="C54">
        <f>Scorecard!C54</f>
        <v/>
      </c>
      <c r="D54">
        <f>Scorecard!D54</f>
        <v/>
      </c>
      <c r="E54">
        <f>Scorecard!E54</f>
        <v/>
      </c>
      <c r="F54">
        <f>Scorecard!F54</f>
        <v/>
      </c>
      <c r="G54">
        <f>Scorecard!G54</f>
        <v/>
      </c>
      <c r="H54">
        <f>Scorecard!H54</f>
        <v/>
      </c>
      <c r="I54">
        <f>Scorecard!I54</f>
        <v/>
      </c>
      <c r="J54">
        <f>Scorecard!J54</f>
        <v/>
      </c>
      <c r="K54">
        <f>Scorecard!K54</f>
        <v/>
      </c>
      <c r="L54">
        <f>Scorecard!L54</f>
        <v/>
      </c>
    </row>
    <row r="55">
      <c r="A55">
        <f>Scorecard!A55</f>
        <v/>
      </c>
      <c r="B55">
        <f>Scorecard!B55</f>
        <v/>
      </c>
      <c r="C55">
        <f>Scorecard!C55</f>
        <v/>
      </c>
      <c r="D55">
        <f>Scorecard!D55</f>
        <v/>
      </c>
      <c r="E55">
        <f>Scorecard!E55</f>
        <v/>
      </c>
      <c r="F55">
        <f>Scorecard!F55</f>
        <v/>
      </c>
      <c r="G55">
        <f>Scorecard!G55</f>
        <v/>
      </c>
      <c r="H55">
        <f>Scorecard!H55</f>
        <v/>
      </c>
      <c r="I55">
        <f>Scorecard!I55</f>
        <v/>
      </c>
      <c r="J55">
        <f>Scorecard!J55</f>
        <v/>
      </c>
      <c r="K55">
        <f>Scorecard!K55</f>
        <v/>
      </c>
      <c r="L55">
        <f>Scorecard!L55</f>
        <v/>
      </c>
    </row>
    <row r="57" ht="18" customHeight="1">
      <c r="A57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57:M57"/>
    <mergeCell ref="A2:M2"/>
    <mergeCell ref="A1:M1"/>
  </mergeCells>
  <hyperlinks>
    <hyperlink xmlns:r="http://schemas.openxmlformats.org/officeDocument/2006/relationships" ref="A57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42" customWidth="1" min="4" max="4"/>
    <col width="9" customWidth="1" min="5" max="5"/>
    <col width="26" customWidth="1" min="6" max="6"/>
    <col width="30" customWidth="1" min="7" max="7"/>
    <col width="9" customWidth="1" min="8" max="8"/>
    <col width="16" customWidth="1" min="9" max="9"/>
    <col width="18" customWidth="1" min="10" max="10"/>
    <col width="3" customWidth="1" min="11" max="11"/>
    <col width="11" customWidth="1" min="12" max="12"/>
    <col width="6" customWidth="1" min="13" max="13"/>
  </cols>
  <sheetData>
    <row r="1" ht="28" customHeight="1">
      <c r="A1" s="1" t="inlineStr">
        <is>
          <t>Revenue Drivers - Detail View</t>
        </is>
      </c>
    </row>
    <row r="2">
      <c r="A2" s="2" t="inlineStr">
        <is>
          <t>Live-linked view of Scorecard rows 57-79. Edit scores on 'Scorecard'; this sheet mirrors, it does not recompute.</t>
        </is>
      </c>
    </row>
    <row r="4">
      <c r="A4" s="7" t="inlineStr">
        <is>
          <t>Category</t>
        </is>
      </c>
      <c r="B4" s="7" t="inlineStr">
        <is>
          <t>Sub-audit</t>
        </is>
      </c>
      <c r="C4" s="7" t="inlineStr">
        <is>
          <t>Leaf ID</t>
        </is>
      </c>
      <c r="D4" s="7" t="inlineStr">
        <is>
          <t>Description</t>
        </is>
      </c>
      <c r="E4" s="7" t="inlineStr">
        <is>
          <t>Score (0-6)</t>
        </is>
      </c>
      <c r="F4" s="7" t="inlineStr">
        <is>
          <t>Evidence pointer</t>
        </is>
      </c>
      <c r="G4" s="7" t="inlineStr">
        <is>
          <t>Justification</t>
        </is>
      </c>
      <c r="H4" s="7" t="inlineStr">
        <is>
          <t>Weight</t>
        </is>
      </c>
      <c r="I4" s="7" t="inlineStr">
        <is>
          <t>Included?</t>
        </is>
      </c>
      <c r="J4" s="7" t="inlineStr">
        <is>
          <t>Row type</t>
        </is>
      </c>
      <c r="K4" s="7" t="inlineStr"/>
      <c r="L4" s="7" t="inlineStr">
        <is>
          <t>Rollup %</t>
        </is>
      </c>
      <c r="M4" s="7" t="inlineStr"/>
    </row>
    <row r="5">
      <c r="A5">
        <f>Scorecard!A57</f>
        <v/>
      </c>
      <c r="B5">
        <f>Scorecard!B57</f>
        <v/>
      </c>
      <c r="C5">
        <f>Scorecard!C57</f>
        <v/>
      </c>
      <c r="D5">
        <f>Scorecard!D57</f>
        <v/>
      </c>
      <c r="E5">
        <f>Scorecard!E57</f>
        <v/>
      </c>
      <c r="F5">
        <f>Scorecard!F57</f>
        <v/>
      </c>
      <c r="G5">
        <f>Scorecard!G57</f>
        <v/>
      </c>
      <c r="H5">
        <f>Scorecard!H57</f>
        <v/>
      </c>
      <c r="I5">
        <f>Scorecard!I57</f>
        <v/>
      </c>
      <c r="J5">
        <f>Scorecard!J57</f>
        <v/>
      </c>
      <c r="K5">
        <f>Scorecard!K57</f>
        <v/>
      </c>
      <c r="L5">
        <f>Scorecard!L57</f>
        <v/>
      </c>
    </row>
    <row r="6">
      <c r="A6">
        <f>Scorecard!A58</f>
        <v/>
      </c>
      <c r="B6">
        <f>Scorecard!B58</f>
        <v/>
      </c>
      <c r="C6">
        <f>Scorecard!C58</f>
        <v/>
      </c>
      <c r="D6">
        <f>Scorecard!D58</f>
        <v/>
      </c>
      <c r="E6">
        <f>Scorecard!E58</f>
        <v/>
      </c>
      <c r="F6">
        <f>Scorecard!F58</f>
        <v/>
      </c>
      <c r="G6">
        <f>Scorecard!G58</f>
        <v/>
      </c>
      <c r="H6">
        <f>Scorecard!H58</f>
        <v/>
      </c>
      <c r="I6">
        <f>Scorecard!I58</f>
        <v/>
      </c>
      <c r="J6">
        <f>Scorecard!J58</f>
        <v/>
      </c>
      <c r="K6">
        <f>Scorecard!K58</f>
        <v/>
      </c>
      <c r="L6">
        <f>Scorecard!L58</f>
        <v/>
      </c>
    </row>
    <row r="7">
      <c r="A7">
        <f>Scorecard!A59</f>
        <v/>
      </c>
      <c r="B7">
        <f>Scorecard!B59</f>
        <v/>
      </c>
      <c r="C7">
        <f>Scorecard!C59</f>
        <v/>
      </c>
      <c r="D7">
        <f>Scorecard!D59</f>
        <v/>
      </c>
      <c r="E7">
        <f>Scorecard!E59</f>
        <v/>
      </c>
      <c r="F7">
        <f>Scorecard!F59</f>
        <v/>
      </c>
      <c r="G7">
        <f>Scorecard!G59</f>
        <v/>
      </c>
      <c r="H7">
        <f>Scorecard!H59</f>
        <v/>
      </c>
      <c r="I7">
        <f>Scorecard!I59</f>
        <v/>
      </c>
      <c r="J7">
        <f>Scorecard!J59</f>
        <v/>
      </c>
      <c r="K7">
        <f>Scorecard!K59</f>
        <v/>
      </c>
      <c r="L7">
        <f>Scorecard!L59</f>
        <v/>
      </c>
    </row>
    <row r="8">
      <c r="A8">
        <f>Scorecard!A60</f>
        <v/>
      </c>
      <c r="B8">
        <f>Scorecard!B60</f>
        <v/>
      </c>
      <c r="C8">
        <f>Scorecard!C60</f>
        <v/>
      </c>
      <c r="D8">
        <f>Scorecard!D60</f>
        <v/>
      </c>
      <c r="E8">
        <f>Scorecard!E60</f>
        <v/>
      </c>
      <c r="F8">
        <f>Scorecard!F60</f>
        <v/>
      </c>
      <c r="G8">
        <f>Scorecard!G60</f>
        <v/>
      </c>
      <c r="H8">
        <f>Scorecard!H60</f>
        <v/>
      </c>
      <c r="I8">
        <f>Scorecard!I60</f>
        <v/>
      </c>
      <c r="J8">
        <f>Scorecard!J60</f>
        <v/>
      </c>
      <c r="K8">
        <f>Scorecard!K60</f>
        <v/>
      </c>
      <c r="L8">
        <f>Scorecard!L60</f>
        <v/>
      </c>
    </row>
    <row r="9">
      <c r="A9">
        <f>Scorecard!A61</f>
        <v/>
      </c>
      <c r="B9">
        <f>Scorecard!B61</f>
        <v/>
      </c>
      <c r="C9">
        <f>Scorecard!C61</f>
        <v/>
      </c>
      <c r="D9">
        <f>Scorecard!D61</f>
        <v/>
      </c>
      <c r="E9">
        <f>Scorecard!E61</f>
        <v/>
      </c>
      <c r="F9">
        <f>Scorecard!F61</f>
        <v/>
      </c>
      <c r="G9">
        <f>Scorecard!G61</f>
        <v/>
      </c>
      <c r="H9">
        <f>Scorecard!H61</f>
        <v/>
      </c>
      <c r="I9">
        <f>Scorecard!I61</f>
        <v/>
      </c>
      <c r="J9">
        <f>Scorecard!J61</f>
        <v/>
      </c>
      <c r="K9">
        <f>Scorecard!K61</f>
        <v/>
      </c>
      <c r="L9">
        <f>Scorecard!L61</f>
        <v/>
      </c>
    </row>
    <row r="10">
      <c r="A10">
        <f>Scorecard!A62</f>
        <v/>
      </c>
      <c r="B10">
        <f>Scorecard!B62</f>
        <v/>
      </c>
      <c r="C10">
        <f>Scorecard!C62</f>
        <v/>
      </c>
      <c r="D10">
        <f>Scorecard!D62</f>
        <v/>
      </c>
      <c r="E10">
        <f>Scorecard!E62</f>
        <v/>
      </c>
      <c r="F10">
        <f>Scorecard!F62</f>
        <v/>
      </c>
      <c r="G10">
        <f>Scorecard!G62</f>
        <v/>
      </c>
      <c r="H10">
        <f>Scorecard!H62</f>
        <v/>
      </c>
      <c r="I10">
        <f>Scorecard!I62</f>
        <v/>
      </c>
      <c r="J10">
        <f>Scorecard!J62</f>
        <v/>
      </c>
      <c r="K10">
        <f>Scorecard!K62</f>
        <v/>
      </c>
      <c r="L10">
        <f>Scorecard!L62</f>
        <v/>
      </c>
    </row>
    <row r="11">
      <c r="A11">
        <f>Scorecard!A63</f>
        <v/>
      </c>
      <c r="B11">
        <f>Scorecard!B63</f>
        <v/>
      </c>
      <c r="C11">
        <f>Scorecard!C63</f>
        <v/>
      </c>
      <c r="D11">
        <f>Scorecard!D63</f>
        <v/>
      </c>
      <c r="E11">
        <f>Scorecard!E63</f>
        <v/>
      </c>
      <c r="F11">
        <f>Scorecard!F63</f>
        <v/>
      </c>
      <c r="G11">
        <f>Scorecard!G63</f>
        <v/>
      </c>
      <c r="H11">
        <f>Scorecard!H63</f>
        <v/>
      </c>
      <c r="I11">
        <f>Scorecard!I63</f>
        <v/>
      </c>
      <c r="J11">
        <f>Scorecard!J63</f>
        <v/>
      </c>
      <c r="K11">
        <f>Scorecard!K63</f>
        <v/>
      </c>
      <c r="L11">
        <f>Scorecard!L63</f>
        <v/>
      </c>
    </row>
    <row r="12">
      <c r="A12">
        <f>Scorecard!A64</f>
        <v/>
      </c>
      <c r="B12">
        <f>Scorecard!B64</f>
        <v/>
      </c>
      <c r="C12">
        <f>Scorecard!C64</f>
        <v/>
      </c>
      <c r="D12">
        <f>Scorecard!D64</f>
        <v/>
      </c>
      <c r="E12">
        <f>Scorecard!E64</f>
        <v/>
      </c>
      <c r="F12">
        <f>Scorecard!F64</f>
        <v/>
      </c>
      <c r="G12">
        <f>Scorecard!G64</f>
        <v/>
      </c>
      <c r="H12">
        <f>Scorecard!H64</f>
        <v/>
      </c>
      <c r="I12">
        <f>Scorecard!I64</f>
        <v/>
      </c>
      <c r="J12">
        <f>Scorecard!J64</f>
        <v/>
      </c>
      <c r="K12">
        <f>Scorecard!K64</f>
        <v/>
      </c>
      <c r="L12">
        <f>Scorecard!L64</f>
        <v/>
      </c>
    </row>
    <row r="13">
      <c r="A13">
        <f>Scorecard!A65</f>
        <v/>
      </c>
      <c r="B13">
        <f>Scorecard!B65</f>
        <v/>
      </c>
      <c r="C13">
        <f>Scorecard!C65</f>
        <v/>
      </c>
      <c r="D13">
        <f>Scorecard!D65</f>
        <v/>
      </c>
      <c r="E13">
        <f>Scorecard!E65</f>
        <v/>
      </c>
      <c r="F13">
        <f>Scorecard!F65</f>
        <v/>
      </c>
      <c r="G13">
        <f>Scorecard!G65</f>
        <v/>
      </c>
      <c r="H13">
        <f>Scorecard!H65</f>
        <v/>
      </c>
      <c r="I13">
        <f>Scorecard!I65</f>
        <v/>
      </c>
      <c r="J13">
        <f>Scorecard!J65</f>
        <v/>
      </c>
      <c r="K13">
        <f>Scorecard!K65</f>
        <v/>
      </c>
      <c r="L13">
        <f>Scorecard!L65</f>
        <v/>
      </c>
    </row>
    <row r="14">
      <c r="A14">
        <f>Scorecard!A66</f>
        <v/>
      </c>
      <c r="B14">
        <f>Scorecard!B66</f>
        <v/>
      </c>
      <c r="C14">
        <f>Scorecard!C66</f>
        <v/>
      </c>
      <c r="D14">
        <f>Scorecard!D66</f>
        <v/>
      </c>
      <c r="E14">
        <f>Scorecard!E66</f>
        <v/>
      </c>
      <c r="F14">
        <f>Scorecard!F66</f>
        <v/>
      </c>
      <c r="G14">
        <f>Scorecard!G66</f>
        <v/>
      </c>
      <c r="H14">
        <f>Scorecard!H66</f>
        <v/>
      </c>
      <c r="I14">
        <f>Scorecard!I66</f>
        <v/>
      </c>
      <c r="J14">
        <f>Scorecard!J66</f>
        <v/>
      </c>
      <c r="K14">
        <f>Scorecard!K66</f>
        <v/>
      </c>
      <c r="L14">
        <f>Scorecard!L66</f>
        <v/>
      </c>
    </row>
    <row r="15">
      <c r="A15">
        <f>Scorecard!A67</f>
        <v/>
      </c>
      <c r="B15">
        <f>Scorecard!B67</f>
        <v/>
      </c>
      <c r="C15">
        <f>Scorecard!C67</f>
        <v/>
      </c>
      <c r="D15">
        <f>Scorecard!D67</f>
        <v/>
      </c>
      <c r="E15">
        <f>Scorecard!E67</f>
        <v/>
      </c>
      <c r="F15">
        <f>Scorecard!F67</f>
        <v/>
      </c>
      <c r="G15">
        <f>Scorecard!G67</f>
        <v/>
      </c>
      <c r="H15">
        <f>Scorecard!H67</f>
        <v/>
      </c>
      <c r="I15">
        <f>Scorecard!I67</f>
        <v/>
      </c>
      <c r="J15">
        <f>Scorecard!J67</f>
        <v/>
      </c>
      <c r="K15">
        <f>Scorecard!K67</f>
        <v/>
      </c>
      <c r="L15">
        <f>Scorecard!L67</f>
        <v/>
      </c>
    </row>
    <row r="16">
      <c r="A16">
        <f>Scorecard!A68</f>
        <v/>
      </c>
      <c r="B16">
        <f>Scorecard!B68</f>
        <v/>
      </c>
      <c r="C16">
        <f>Scorecard!C68</f>
        <v/>
      </c>
      <c r="D16">
        <f>Scorecard!D68</f>
        <v/>
      </c>
      <c r="E16">
        <f>Scorecard!E68</f>
        <v/>
      </c>
      <c r="F16">
        <f>Scorecard!F68</f>
        <v/>
      </c>
      <c r="G16">
        <f>Scorecard!G68</f>
        <v/>
      </c>
      <c r="H16">
        <f>Scorecard!H68</f>
        <v/>
      </c>
      <c r="I16">
        <f>Scorecard!I68</f>
        <v/>
      </c>
      <c r="J16">
        <f>Scorecard!J68</f>
        <v/>
      </c>
      <c r="K16">
        <f>Scorecard!K68</f>
        <v/>
      </c>
      <c r="L16">
        <f>Scorecard!L68</f>
        <v/>
      </c>
    </row>
    <row r="17">
      <c r="A17">
        <f>Scorecard!A69</f>
        <v/>
      </c>
      <c r="B17">
        <f>Scorecard!B69</f>
        <v/>
      </c>
      <c r="C17">
        <f>Scorecard!C69</f>
        <v/>
      </c>
      <c r="D17">
        <f>Scorecard!D69</f>
        <v/>
      </c>
      <c r="E17">
        <f>Scorecard!E69</f>
        <v/>
      </c>
      <c r="F17">
        <f>Scorecard!F69</f>
        <v/>
      </c>
      <c r="G17">
        <f>Scorecard!G69</f>
        <v/>
      </c>
      <c r="H17">
        <f>Scorecard!H69</f>
        <v/>
      </c>
      <c r="I17">
        <f>Scorecard!I69</f>
        <v/>
      </c>
      <c r="J17">
        <f>Scorecard!J69</f>
        <v/>
      </c>
      <c r="K17">
        <f>Scorecard!K69</f>
        <v/>
      </c>
      <c r="L17">
        <f>Scorecard!L69</f>
        <v/>
      </c>
    </row>
    <row r="18">
      <c r="A18">
        <f>Scorecard!A70</f>
        <v/>
      </c>
      <c r="B18">
        <f>Scorecard!B70</f>
        <v/>
      </c>
      <c r="C18">
        <f>Scorecard!C70</f>
        <v/>
      </c>
      <c r="D18">
        <f>Scorecard!D70</f>
        <v/>
      </c>
      <c r="E18">
        <f>Scorecard!E70</f>
        <v/>
      </c>
      <c r="F18">
        <f>Scorecard!F70</f>
        <v/>
      </c>
      <c r="G18">
        <f>Scorecard!G70</f>
        <v/>
      </c>
      <c r="H18">
        <f>Scorecard!H70</f>
        <v/>
      </c>
      <c r="I18">
        <f>Scorecard!I70</f>
        <v/>
      </c>
      <c r="J18">
        <f>Scorecard!J70</f>
        <v/>
      </c>
      <c r="K18">
        <f>Scorecard!K70</f>
        <v/>
      </c>
      <c r="L18">
        <f>Scorecard!L70</f>
        <v/>
      </c>
    </row>
    <row r="19">
      <c r="A19">
        <f>Scorecard!A71</f>
        <v/>
      </c>
      <c r="B19">
        <f>Scorecard!B71</f>
        <v/>
      </c>
      <c r="C19">
        <f>Scorecard!C71</f>
        <v/>
      </c>
      <c r="D19">
        <f>Scorecard!D71</f>
        <v/>
      </c>
      <c r="E19">
        <f>Scorecard!E71</f>
        <v/>
      </c>
      <c r="F19">
        <f>Scorecard!F71</f>
        <v/>
      </c>
      <c r="G19">
        <f>Scorecard!G71</f>
        <v/>
      </c>
      <c r="H19">
        <f>Scorecard!H71</f>
        <v/>
      </c>
      <c r="I19">
        <f>Scorecard!I71</f>
        <v/>
      </c>
      <c r="J19">
        <f>Scorecard!J71</f>
        <v/>
      </c>
      <c r="K19">
        <f>Scorecard!K71</f>
        <v/>
      </c>
      <c r="L19">
        <f>Scorecard!L71</f>
        <v/>
      </c>
    </row>
    <row r="20">
      <c r="A20">
        <f>Scorecard!A72</f>
        <v/>
      </c>
      <c r="B20">
        <f>Scorecard!B72</f>
        <v/>
      </c>
      <c r="C20">
        <f>Scorecard!C72</f>
        <v/>
      </c>
      <c r="D20">
        <f>Scorecard!D72</f>
        <v/>
      </c>
      <c r="E20">
        <f>Scorecard!E72</f>
        <v/>
      </c>
      <c r="F20">
        <f>Scorecard!F72</f>
        <v/>
      </c>
      <c r="G20">
        <f>Scorecard!G72</f>
        <v/>
      </c>
      <c r="H20">
        <f>Scorecard!H72</f>
        <v/>
      </c>
      <c r="I20">
        <f>Scorecard!I72</f>
        <v/>
      </c>
      <c r="J20">
        <f>Scorecard!J72</f>
        <v/>
      </c>
      <c r="K20">
        <f>Scorecard!K72</f>
        <v/>
      </c>
      <c r="L20">
        <f>Scorecard!L72</f>
        <v/>
      </c>
    </row>
    <row r="21">
      <c r="A21">
        <f>Scorecard!A73</f>
        <v/>
      </c>
      <c r="B21">
        <f>Scorecard!B73</f>
        <v/>
      </c>
      <c r="C21">
        <f>Scorecard!C73</f>
        <v/>
      </c>
      <c r="D21">
        <f>Scorecard!D73</f>
        <v/>
      </c>
      <c r="E21">
        <f>Scorecard!E73</f>
        <v/>
      </c>
      <c r="F21">
        <f>Scorecard!F73</f>
        <v/>
      </c>
      <c r="G21">
        <f>Scorecard!G73</f>
        <v/>
      </c>
      <c r="H21">
        <f>Scorecard!H73</f>
        <v/>
      </c>
      <c r="I21">
        <f>Scorecard!I73</f>
        <v/>
      </c>
      <c r="J21">
        <f>Scorecard!J73</f>
        <v/>
      </c>
      <c r="K21">
        <f>Scorecard!K73</f>
        <v/>
      </c>
      <c r="L21">
        <f>Scorecard!L73</f>
        <v/>
      </c>
    </row>
    <row r="22">
      <c r="A22">
        <f>Scorecard!A74</f>
        <v/>
      </c>
      <c r="B22">
        <f>Scorecard!B74</f>
        <v/>
      </c>
      <c r="C22">
        <f>Scorecard!C74</f>
        <v/>
      </c>
      <c r="D22">
        <f>Scorecard!D74</f>
        <v/>
      </c>
      <c r="E22">
        <f>Scorecard!E74</f>
        <v/>
      </c>
      <c r="F22">
        <f>Scorecard!F74</f>
        <v/>
      </c>
      <c r="G22">
        <f>Scorecard!G74</f>
        <v/>
      </c>
      <c r="H22">
        <f>Scorecard!H74</f>
        <v/>
      </c>
      <c r="I22">
        <f>Scorecard!I74</f>
        <v/>
      </c>
      <c r="J22">
        <f>Scorecard!J74</f>
        <v/>
      </c>
      <c r="K22">
        <f>Scorecard!K74</f>
        <v/>
      </c>
      <c r="L22">
        <f>Scorecard!L74</f>
        <v/>
      </c>
    </row>
    <row r="23">
      <c r="A23">
        <f>Scorecard!A75</f>
        <v/>
      </c>
      <c r="B23">
        <f>Scorecard!B75</f>
        <v/>
      </c>
      <c r="C23">
        <f>Scorecard!C75</f>
        <v/>
      </c>
      <c r="D23">
        <f>Scorecard!D75</f>
        <v/>
      </c>
      <c r="E23">
        <f>Scorecard!E75</f>
        <v/>
      </c>
      <c r="F23">
        <f>Scorecard!F75</f>
        <v/>
      </c>
      <c r="G23">
        <f>Scorecard!G75</f>
        <v/>
      </c>
      <c r="H23">
        <f>Scorecard!H75</f>
        <v/>
      </c>
      <c r="I23">
        <f>Scorecard!I75</f>
        <v/>
      </c>
      <c r="J23">
        <f>Scorecard!J75</f>
        <v/>
      </c>
      <c r="K23">
        <f>Scorecard!K75</f>
        <v/>
      </c>
      <c r="L23">
        <f>Scorecard!L75</f>
        <v/>
      </c>
    </row>
    <row r="24">
      <c r="A24">
        <f>Scorecard!A76</f>
        <v/>
      </c>
      <c r="B24">
        <f>Scorecard!B76</f>
        <v/>
      </c>
      <c r="C24">
        <f>Scorecard!C76</f>
        <v/>
      </c>
      <c r="D24">
        <f>Scorecard!D76</f>
        <v/>
      </c>
      <c r="E24">
        <f>Scorecard!E76</f>
        <v/>
      </c>
      <c r="F24">
        <f>Scorecard!F76</f>
        <v/>
      </c>
      <c r="G24">
        <f>Scorecard!G76</f>
        <v/>
      </c>
      <c r="H24">
        <f>Scorecard!H76</f>
        <v/>
      </c>
      <c r="I24">
        <f>Scorecard!I76</f>
        <v/>
      </c>
      <c r="J24">
        <f>Scorecard!J76</f>
        <v/>
      </c>
      <c r="K24">
        <f>Scorecard!K76</f>
        <v/>
      </c>
      <c r="L24">
        <f>Scorecard!L76</f>
        <v/>
      </c>
    </row>
    <row r="25">
      <c r="A25">
        <f>Scorecard!A77</f>
        <v/>
      </c>
      <c r="B25">
        <f>Scorecard!B77</f>
        <v/>
      </c>
      <c r="C25">
        <f>Scorecard!C77</f>
        <v/>
      </c>
      <c r="D25">
        <f>Scorecard!D77</f>
        <v/>
      </c>
      <c r="E25">
        <f>Scorecard!E77</f>
        <v/>
      </c>
      <c r="F25">
        <f>Scorecard!F77</f>
        <v/>
      </c>
      <c r="G25">
        <f>Scorecard!G77</f>
        <v/>
      </c>
      <c r="H25">
        <f>Scorecard!H77</f>
        <v/>
      </c>
      <c r="I25">
        <f>Scorecard!I77</f>
        <v/>
      </c>
      <c r="J25">
        <f>Scorecard!J77</f>
        <v/>
      </c>
      <c r="K25">
        <f>Scorecard!K77</f>
        <v/>
      </c>
      <c r="L25">
        <f>Scorecard!L77</f>
        <v/>
      </c>
    </row>
    <row r="26">
      <c r="A26">
        <f>Scorecard!A78</f>
        <v/>
      </c>
      <c r="B26">
        <f>Scorecard!B78</f>
        <v/>
      </c>
      <c r="C26">
        <f>Scorecard!C78</f>
        <v/>
      </c>
      <c r="D26">
        <f>Scorecard!D78</f>
        <v/>
      </c>
      <c r="E26">
        <f>Scorecard!E78</f>
        <v/>
      </c>
      <c r="F26">
        <f>Scorecard!F78</f>
        <v/>
      </c>
      <c r="G26">
        <f>Scorecard!G78</f>
        <v/>
      </c>
      <c r="H26">
        <f>Scorecard!H78</f>
        <v/>
      </c>
      <c r="I26">
        <f>Scorecard!I78</f>
        <v/>
      </c>
      <c r="J26">
        <f>Scorecard!J78</f>
        <v/>
      </c>
      <c r="K26">
        <f>Scorecard!K78</f>
        <v/>
      </c>
      <c r="L26">
        <f>Scorecard!L78</f>
        <v/>
      </c>
    </row>
    <row r="27">
      <c r="A27">
        <f>Scorecard!A79</f>
        <v/>
      </c>
      <c r="B27">
        <f>Scorecard!B79</f>
        <v/>
      </c>
      <c r="C27">
        <f>Scorecard!C79</f>
        <v/>
      </c>
      <c r="D27">
        <f>Scorecard!D79</f>
        <v/>
      </c>
      <c r="E27">
        <f>Scorecard!E79</f>
        <v/>
      </c>
      <c r="F27">
        <f>Scorecard!F79</f>
        <v/>
      </c>
      <c r="G27">
        <f>Scorecard!G79</f>
        <v/>
      </c>
      <c r="H27">
        <f>Scorecard!H79</f>
        <v/>
      </c>
      <c r="I27">
        <f>Scorecard!I79</f>
        <v/>
      </c>
      <c r="J27">
        <f>Scorecard!J79</f>
        <v/>
      </c>
      <c r="K27">
        <f>Scorecard!K79</f>
        <v/>
      </c>
      <c r="L27">
        <f>Scorecard!L79</f>
        <v/>
      </c>
    </row>
    <row r="29" ht="18" customHeight="1">
      <c r="A29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M2"/>
    <mergeCell ref="A1:M1"/>
    <mergeCell ref="A29:M29"/>
  </mergeCells>
  <hyperlinks>
    <hyperlink xmlns:r="http://schemas.openxmlformats.org/officeDocument/2006/relationships" ref="A29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42" customWidth="1" min="4" max="4"/>
    <col width="9" customWidth="1" min="5" max="5"/>
    <col width="26" customWidth="1" min="6" max="6"/>
    <col width="30" customWidth="1" min="7" max="7"/>
    <col width="9" customWidth="1" min="8" max="8"/>
    <col width="16" customWidth="1" min="9" max="9"/>
    <col width="18" customWidth="1" min="10" max="10"/>
    <col width="3" customWidth="1" min="11" max="11"/>
    <col width="11" customWidth="1" min="12" max="12"/>
    <col width="6" customWidth="1" min="13" max="13"/>
  </cols>
  <sheetData>
    <row r="1" ht="28" customHeight="1">
      <c r="A1" s="1" t="inlineStr">
        <is>
          <t>Mission Critical - Detail View</t>
        </is>
      </c>
    </row>
    <row r="2">
      <c r="A2" s="2" t="inlineStr">
        <is>
          <t>Live-linked view of Scorecard rows 81-103. Edit scores on 'Scorecard'; this sheet mirrors, it does not recompute.</t>
        </is>
      </c>
    </row>
    <row r="4">
      <c r="A4" s="7" t="inlineStr">
        <is>
          <t>Category</t>
        </is>
      </c>
      <c r="B4" s="7" t="inlineStr">
        <is>
          <t>Sub-audit</t>
        </is>
      </c>
      <c r="C4" s="7" t="inlineStr">
        <is>
          <t>Leaf ID</t>
        </is>
      </c>
      <c r="D4" s="7" t="inlineStr">
        <is>
          <t>Description</t>
        </is>
      </c>
      <c r="E4" s="7" t="inlineStr">
        <is>
          <t>Score (0-6)</t>
        </is>
      </c>
      <c r="F4" s="7" t="inlineStr">
        <is>
          <t>Evidence pointer</t>
        </is>
      </c>
      <c r="G4" s="7" t="inlineStr">
        <is>
          <t>Justification</t>
        </is>
      </c>
      <c r="H4" s="7" t="inlineStr">
        <is>
          <t>Weight</t>
        </is>
      </c>
      <c r="I4" s="7" t="inlineStr">
        <is>
          <t>Included?</t>
        </is>
      </c>
      <c r="J4" s="7" t="inlineStr">
        <is>
          <t>Row type</t>
        </is>
      </c>
      <c r="K4" s="7" t="inlineStr"/>
      <c r="L4" s="7" t="inlineStr">
        <is>
          <t>Rollup %</t>
        </is>
      </c>
      <c r="M4" s="7" t="inlineStr"/>
    </row>
    <row r="5">
      <c r="A5">
        <f>Scorecard!A81</f>
        <v/>
      </c>
      <c r="B5">
        <f>Scorecard!B81</f>
        <v/>
      </c>
      <c r="C5">
        <f>Scorecard!C81</f>
        <v/>
      </c>
      <c r="D5">
        <f>Scorecard!D81</f>
        <v/>
      </c>
      <c r="E5">
        <f>Scorecard!E81</f>
        <v/>
      </c>
      <c r="F5">
        <f>Scorecard!F81</f>
        <v/>
      </c>
      <c r="G5">
        <f>Scorecard!G81</f>
        <v/>
      </c>
      <c r="H5">
        <f>Scorecard!H81</f>
        <v/>
      </c>
      <c r="I5">
        <f>Scorecard!I81</f>
        <v/>
      </c>
      <c r="J5">
        <f>Scorecard!J81</f>
        <v/>
      </c>
      <c r="K5">
        <f>Scorecard!K81</f>
        <v/>
      </c>
      <c r="L5">
        <f>Scorecard!L81</f>
        <v/>
      </c>
    </row>
    <row r="6">
      <c r="A6">
        <f>Scorecard!A82</f>
        <v/>
      </c>
      <c r="B6">
        <f>Scorecard!B82</f>
        <v/>
      </c>
      <c r="C6">
        <f>Scorecard!C82</f>
        <v/>
      </c>
      <c r="D6">
        <f>Scorecard!D82</f>
        <v/>
      </c>
      <c r="E6">
        <f>Scorecard!E82</f>
        <v/>
      </c>
      <c r="F6">
        <f>Scorecard!F82</f>
        <v/>
      </c>
      <c r="G6">
        <f>Scorecard!G82</f>
        <v/>
      </c>
      <c r="H6">
        <f>Scorecard!H82</f>
        <v/>
      </c>
      <c r="I6">
        <f>Scorecard!I82</f>
        <v/>
      </c>
      <c r="J6">
        <f>Scorecard!J82</f>
        <v/>
      </c>
      <c r="K6">
        <f>Scorecard!K82</f>
        <v/>
      </c>
      <c r="L6">
        <f>Scorecard!L82</f>
        <v/>
      </c>
    </row>
    <row r="7">
      <c r="A7">
        <f>Scorecard!A83</f>
        <v/>
      </c>
      <c r="B7">
        <f>Scorecard!B83</f>
        <v/>
      </c>
      <c r="C7">
        <f>Scorecard!C83</f>
        <v/>
      </c>
      <c r="D7">
        <f>Scorecard!D83</f>
        <v/>
      </c>
      <c r="E7">
        <f>Scorecard!E83</f>
        <v/>
      </c>
      <c r="F7">
        <f>Scorecard!F83</f>
        <v/>
      </c>
      <c r="G7">
        <f>Scorecard!G83</f>
        <v/>
      </c>
      <c r="H7">
        <f>Scorecard!H83</f>
        <v/>
      </c>
      <c r="I7">
        <f>Scorecard!I83</f>
        <v/>
      </c>
      <c r="J7">
        <f>Scorecard!J83</f>
        <v/>
      </c>
      <c r="K7">
        <f>Scorecard!K83</f>
        <v/>
      </c>
      <c r="L7">
        <f>Scorecard!L83</f>
        <v/>
      </c>
    </row>
    <row r="8">
      <c r="A8">
        <f>Scorecard!A84</f>
        <v/>
      </c>
      <c r="B8">
        <f>Scorecard!B84</f>
        <v/>
      </c>
      <c r="C8">
        <f>Scorecard!C84</f>
        <v/>
      </c>
      <c r="D8">
        <f>Scorecard!D84</f>
        <v/>
      </c>
      <c r="E8">
        <f>Scorecard!E84</f>
        <v/>
      </c>
      <c r="F8">
        <f>Scorecard!F84</f>
        <v/>
      </c>
      <c r="G8">
        <f>Scorecard!G84</f>
        <v/>
      </c>
      <c r="H8">
        <f>Scorecard!H84</f>
        <v/>
      </c>
      <c r="I8">
        <f>Scorecard!I84</f>
        <v/>
      </c>
      <c r="J8">
        <f>Scorecard!J84</f>
        <v/>
      </c>
      <c r="K8">
        <f>Scorecard!K84</f>
        <v/>
      </c>
      <c r="L8">
        <f>Scorecard!L84</f>
        <v/>
      </c>
    </row>
    <row r="9">
      <c r="A9">
        <f>Scorecard!A85</f>
        <v/>
      </c>
      <c r="B9">
        <f>Scorecard!B85</f>
        <v/>
      </c>
      <c r="C9">
        <f>Scorecard!C85</f>
        <v/>
      </c>
      <c r="D9">
        <f>Scorecard!D85</f>
        <v/>
      </c>
      <c r="E9">
        <f>Scorecard!E85</f>
        <v/>
      </c>
      <c r="F9">
        <f>Scorecard!F85</f>
        <v/>
      </c>
      <c r="G9">
        <f>Scorecard!G85</f>
        <v/>
      </c>
      <c r="H9">
        <f>Scorecard!H85</f>
        <v/>
      </c>
      <c r="I9">
        <f>Scorecard!I85</f>
        <v/>
      </c>
      <c r="J9">
        <f>Scorecard!J85</f>
        <v/>
      </c>
      <c r="K9">
        <f>Scorecard!K85</f>
        <v/>
      </c>
      <c r="L9">
        <f>Scorecard!L85</f>
        <v/>
      </c>
    </row>
    <row r="10">
      <c r="A10">
        <f>Scorecard!A86</f>
        <v/>
      </c>
      <c r="B10">
        <f>Scorecard!B86</f>
        <v/>
      </c>
      <c r="C10">
        <f>Scorecard!C86</f>
        <v/>
      </c>
      <c r="D10">
        <f>Scorecard!D86</f>
        <v/>
      </c>
      <c r="E10">
        <f>Scorecard!E86</f>
        <v/>
      </c>
      <c r="F10">
        <f>Scorecard!F86</f>
        <v/>
      </c>
      <c r="G10">
        <f>Scorecard!G86</f>
        <v/>
      </c>
      <c r="H10">
        <f>Scorecard!H86</f>
        <v/>
      </c>
      <c r="I10">
        <f>Scorecard!I86</f>
        <v/>
      </c>
      <c r="J10">
        <f>Scorecard!J86</f>
        <v/>
      </c>
      <c r="K10">
        <f>Scorecard!K86</f>
        <v/>
      </c>
      <c r="L10">
        <f>Scorecard!L86</f>
        <v/>
      </c>
    </row>
    <row r="11">
      <c r="A11">
        <f>Scorecard!A87</f>
        <v/>
      </c>
      <c r="B11">
        <f>Scorecard!B87</f>
        <v/>
      </c>
      <c r="C11">
        <f>Scorecard!C87</f>
        <v/>
      </c>
      <c r="D11">
        <f>Scorecard!D87</f>
        <v/>
      </c>
      <c r="E11">
        <f>Scorecard!E87</f>
        <v/>
      </c>
      <c r="F11">
        <f>Scorecard!F87</f>
        <v/>
      </c>
      <c r="G11">
        <f>Scorecard!G87</f>
        <v/>
      </c>
      <c r="H11">
        <f>Scorecard!H87</f>
        <v/>
      </c>
      <c r="I11">
        <f>Scorecard!I87</f>
        <v/>
      </c>
      <c r="J11">
        <f>Scorecard!J87</f>
        <v/>
      </c>
      <c r="K11">
        <f>Scorecard!K87</f>
        <v/>
      </c>
      <c r="L11">
        <f>Scorecard!L87</f>
        <v/>
      </c>
    </row>
    <row r="12">
      <c r="A12">
        <f>Scorecard!A88</f>
        <v/>
      </c>
      <c r="B12">
        <f>Scorecard!B88</f>
        <v/>
      </c>
      <c r="C12">
        <f>Scorecard!C88</f>
        <v/>
      </c>
      <c r="D12">
        <f>Scorecard!D88</f>
        <v/>
      </c>
      <c r="E12">
        <f>Scorecard!E88</f>
        <v/>
      </c>
      <c r="F12">
        <f>Scorecard!F88</f>
        <v/>
      </c>
      <c r="G12">
        <f>Scorecard!G88</f>
        <v/>
      </c>
      <c r="H12">
        <f>Scorecard!H88</f>
        <v/>
      </c>
      <c r="I12">
        <f>Scorecard!I88</f>
        <v/>
      </c>
      <c r="J12">
        <f>Scorecard!J88</f>
        <v/>
      </c>
      <c r="K12">
        <f>Scorecard!K88</f>
        <v/>
      </c>
      <c r="L12">
        <f>Scorecard!L88</f>
        <v/>
      </c>
    </row>
    <row r="13">
      <c r="A13">
        <f>Scorecard!A89</f>
        <v/>
      </c>
      <c r="B13">
        <f>Scorecard!B89</f>
        <v/>
      </c>
      <c r="C13">
        <f>Scorecard!C89</f>
        <v/>
      </c>
      <c r="D13">
        <f>Scorecard!D89</f>
        <v/>
      </c>
      <c r="E13">
        <f>Scorecard!E89</f>
        <v/>
      </c>
      <c r="F13">
        <f>Scorecard!F89</f>
        <v/>
      </c>
      <c r="G13">
        <f>Scorecard!G89</f>
        <v/>
      </c>
      <c r="H13">
        <f>Scorecard!H89</f>
        <v/>
      </c>
      <c r="I13">
        <f>Scorecard!I89</f>
        <v/>
      </c>
      <c r="J13">
        <f>Scorecard!J89</f>
        <v/>
      </c>
      <c r="K13">
        <f>Scorecard!K89</f>
        <v/>
      </c>
      <c r="L13">
        <f>Scorecard!L89</f>
        <v/>
      </c>
    </row>
    <row r="14">
      <c r="A14">
        <f>Scorecard!A90</f>
        <v/>
      </c>
      <c r="B14">
        <f>Scorecard!B90</f>
        <v/>
      </c>
      <c r="C14">
        <f>Scorecard!C90</f>
        <v/>
      </c>
      <c r="D14">
        <f>Scorecard!D90</f>
        <v/>
      </c>
      <c r="E14">
        <f>Scorecard!E90</f>
        <v/>
      </c>
      <c r="F14">
        <f>Scorecard!F90</f>
        <v/>
      </c>
      <c r="G14">
        <f>Scorecard!G90</f>
        <v/>
      </c>
      <c r="H14">
        <f>Scorecard!H90</f>
        <v/>
      </c>
      <c r="I14">
        <f>Scorecard!I90</f>
        <v/>
      </c>
      <c r="J14">
        <f>Scorecard!J90</f>
        <v/>
      </c>
      <c r="K14">
        <f>Scorecard!K90</f>
        <v/>
      </c>
      <c r="L14">
        <f>Scorecard!L90</f>
        <v/>
      </c>
    </row>
    <row r="15">
      <c r="A15">
        <f>Scorecard!A91</f>
        <v/>
      </c>
      <c r="B15">
        <f>Scorecard!B91</f>
        <v/>
      </c>
      <c r="C15">
        <f>Scorecard!C91</f>
        <v/>
      </c>
      <c r="D15">
        <f>Scorecard!D91</f>
        <v/>
      </c>
      <c r="E15">
        <f>Scorecard!E91</f>
        <v/>
      </c>
      <c r="F15">
        <f>Scorecard!F91</f>
        <v/>
      </c>
      <c r="G15">
        <f>Scorecard!G91</f>
        <v/>
      </c>
      <c r="H15">
        <f>Scorecard!H91</f>
        <v/>
      </c>
      <c r="I15">
        <f>Scorecard!I91</f>
        <v/>
      </c>
      <c r="J15">
        <f>Scorecard!J91</f>
        <v/>
      </c>
      <c r="K15">
        <f>Scorecard!K91</f>
        <v/>
      </c>
      <c r="L15">
        <f>Scorecard!L91</f>
        <v/>
      </c>
    </row>
    <row r="16">
      <c r="A16">
        <f>Scorecard!A92</f>
        <v/>
      </c>
      <c r="B16">
        <f>Scorecard!B92</f>
        <v/>
      </c>
      <c r="C16">
        <f>Scorecard!C92</f>
        <v/>
      </c>
      <c r="D16">
        <f>Scorecard!D92</f>
        <v/>
      </c>
      <c r="E16">
        <f>Scorecard!E92</f>
        <v/>
      </c>
      <c r="F16">
        <f>Scorecard!F92</f>
        <v/>
      </c>
      <c r="G16">
        <f>Scorecard!G92</f>
        <v/>
      </c>
      <c r="H16">
        <f>Scorecard!H92</f>
        <v/>
      </c>
      <c r="I16">
        <f>Scorecard!I92</f>
        <v/>
      </c>
      <c r="J16">
        <f>Scorecard!J92</f>
        <v/>
      </c>
      <c r="K16">
        <f>Scorecard!K92</f>
        <v/>
      </c>
      <c r="L16">
        <f>Scorecard!L92</f>
        <v/>
      </c>
    </row>
    <row r="17">
      <c r="A17">
        <f>Scorecard!A93</f>
        <v/>
      </c>
      <c r="B17">
        <f>Scorecard!B93</f>
        <v/>
      </c>
      <c r="C17">
        <f>Scorecard!C93</f>
        <v/>
      </c>
      <c r="D17">
        <f>Scorecard!D93</f>
        <v/>
      </c>
      <c r="E17">
        <f>Scorecard!E93</f>
        <v/>
      </c>
      <c r="F17">
        <f>Scorecard!F93</f>
        <v/>
      </c>
      <c r="G17">
        <f>Scorecard!G93</f>
        <v/>
      </c>
      <c r="H17">
        <f>Scorecard!H93</f>
        <v/>
      </c>
      <c r="I17">
        <f>Scorecard!I93</f>
        <v/>
      </c>
      <c r="J17">
        <f>Scorecard!J93</f>
        <v/>
      </c>
      <c r="K17">
        <f>Scorecard!K93</f>
        <v/>
      </c>
      <c r="L17">
        <f>Scorecard!L93</f>
        <v/>
      </c>
    </row>
    <row r="18">
      <c r="A18">
        <f>Scorecard!A94</f>
        <v/>
      </c>
      <c r="B18">
        <f>Scorecard!B94</f>
        <v/>
      </c>
      <c r="C18">
        <f>Scorecard!C94</f>
        <v/>
      </c>
      <c r="D18">
        <f>Scorecard!D94</f>
        <v/>
      </c>
      <c r="E18">
        <f>Scorecard!E94</f>
        <v/>
      </c>
      <c r="F18">
        <f>Scorecard!F94</f>
        <v/>
      </c>
      <c r="G18">
        <f>Scorecard!G94</f>
        <v/>
      </c>
      <c r="H18">
        <f>Scorecard!H94</f>
        <v/>
      </c>
      <c r="I18">
        <f>Scorecard!I94</f>
        <v/>
      </c>
      <c r="J18">
        <f>Scorecard!J94</f>
        <v/>
      </c>
      <c r="K18">
        <f>Scorecard!K94</f>
        <v/>
      </c>
      <c r="L18">
        <f>Scorecard!L94</f>
        <v/>
      </c>
    </row>
    <row r="19">
      <c r="A19">
        <f>Scorecard!A95</f>
        <v/>
      </c>
      <c r="B19">
        <f>Scorecard!B95</f>
        <v/>
      </c>
      <c r="C19">
        <f>Scorecard!C95</f>
        <v/>
      </c>
      <c r="D19">
        <f>Scorecard!D95</f>
        <v/>
      </c>
      <c r="E19">
        <f>Scorecard!E95</f>
        <v/>
      </c>
      <c r="F19">
        <f>Scorecard!F95</f>
        <v/>
      </c>
      <c r="G19">
        <f>Scorecard!G95</f>
        <v/>
      </c>
      <c r="H19">
        <f>Scorecard!H95</f>
        <v/>
      </c>
      <c r="I19">
        <f>Scorecard!I95</f>
        <v/>
      </c>
      <c r="J19">
        <f>Scorecard!J95</f>
        <v/>
      </c>
      <c r="K19">
        <f>Scorecard!K95</f>
        <v/>
      </c>
      <c r="L19">
        <f>Scorecard!L95</f>
        <v/>
      </c>
    </row>
    <row r="20">
      <c r="A20">
        <f>Scorecard!A96</f>
        <v/>
      </c>
      <c r="B20">
        <f>Scorecard!B96</f>
        <v/>
      </c>
      <c r="C20">
        <f>Scorecard!C96</f>
        <v/>
      </c>
      <c r="D20">
        <f>Scorecard!D96</f>
        <v/>
      </c>
      <c r="E20">
        <f>Scorecard!E96</f>
        <v/>
      </c>
      <c r="F20">
        <f>Scorecard!F96</f>
        <v/>
      </c>
      <c r="G20">
        <f>Scorecard!G96</f>
        <v/>
      </c>
      <c r="H20">
        <f>Scorecard!H96</f>
        <v/>
      </c>
      <c r="I20">
        <f>Scorecard!I96</f>
        <v/>
      </c>
      <c r="J20">
        <f>Scorecard!J96</f>
        <v/>
      </c>
      <c r="K20">
        <f>Scorecard!K96</f>
        <v/>
      </c>
      <c r="L20">
        <f>Scorecard!L96</f>
        <v/>
      </c>
    </row>
    <row r="21">
      <c r="A21">
        <f>Scorecard!A97</f>
        <v/>
      </c>
      <c r="B21">
        <f>Scorecard!B97</f>
        <v/>
      </c>
      <c r="C21">
        <f>Scorecard!C97</f>
        <v/>
      </c>
      <c r="D21">
        <f>Scorecard!D97</f>
        <v/>
      </c>
      <c r="E21">
        <f>Scorecard!E97</f>
        <v/>
      </c>
      <c r="F21">
        <f>Scorecard!F97</f>
        <v/>
      </c>
      <c r="G21">
        <f>Scorecard!G97</f>
        <v/>
      </c>
      <c r="H21">
        <f>Scorecard!H97</f>
        <v/>
      </c>
      <c r="I21">
        <f>Scorecard!I97</f>
        <v/>
      </c>
      <c r="J21">
        <f>Scorecard!J97</f>
        <v/>
      </c>
      <c r="K21">
        <f>Scorecard!K97</f>
        <v/>
      </c>
      <c r="L21">
        <f>Scorecard!L97</f>
        <v/>
      </c>
    </row>
    <row r="22">
      <c r="A22">
        <f>Scorecard!A98</f>
        <v/>
      </c>
      <c r="B22">
        <f>Scorecard!B98</f>
        <v/>
      </c>
      <c r="C22">
        <f>Scorecard!C98</f>
        <v/>
      </c>
      <c r="D22">
        <f>Scorecard!D98</f>
        <v/>
      </c>
      <c r="E22">
        <f>Scorecard!E98</f>
        <v/>
      </c>
      <c r="F22">
        <f>Scorecard!F98</f>
        <v/>
      </c>
      <c r="G22">
        <f>Scorecard!G98</f>
        <v/>
      </c>
      <c r="H22">
        <f>Scorecard!H98</f>
        <v/>
      </c>
      <c r="I22">
        <f>Scorecard!I98</f>
        <v/>
      </c>
      <c r="J22">
        <f>Scorecard!J98</f>
        <v/>
      </c>
      <c r="K22">
        <f>Scorecard!K98</f>
        <v/>
      </c>
      <c r="L22">
        <f>Scorecard!L98</f>
        <v/>
      </c>
    </row>
    <row r="23">
      <c r="A23">
        <f>Scorecard!A99</f>
        <v/>
      </c>
      <c r="B23">
        <f>Scorecard!B99</f>
        <v/>
      </c>
      <c r="C23">
        <f>Scorecard!C99</f>
        <v/>
      </c>
      <c r="D23">
        <f>Scorecard!D99</f>
        <v/>
      </c>
      <c r="E23">
        <f>Scorecard!E99</f>
        <v/>
      </c>
      <c r="F23">
        <f>Scorecard!F99</f>
        <v/>
      </c>
      <c r="G23">
        <f>Scorecard!G99</f>
        <v/>
      </c>
      <c r="H23">
        <f>Scorecard!H99</f>
        <v/>
      </c>
      <c r="I23">
        <f>Scorecard!I99</f>
        <v/>
      </c>
      <c r="J23">
        <f>Scorecard!J99</f>
        <v/>
      </c>
      <c r="K23">
        <f>Scorecard!K99</f>
        <v/>
      </c>
      <c r="L23">
        <f>Scorecard!L99</f>
        <v/>
      </c>
    </row>
    <row r="24">
      <c r="A24">
        <f>Scorecard!A100</f>
        <v/>
      </c>
      <c r="B24">
        <f>Scorecard!B100</f>
        <v/>
      </c>
      <c r="C24">
        <f>Scorecard!C100</f>
        <v/>
      </c>
      <c r="D24">
        <f>Scorecard!D100</f>
        <v/>
      </c>
      <c r="E24">
        <f>Scorecard!E100</f>
        <v/>
      </c>
      <c r="F24">
        <f>Scorecard!F100</f>
        <v/>
      </c>
      <c r="G24">
        <f>Scorecard!G100</f>
        <v/>
      </c>
      <c r="H24">
        <f>Scorecard!H100</f>
        <v/>
      </c>
      <c r="I24">
        <f>Scorecard!I100</f>
        <v/>
      </c>
      <c r="J24">
        <f>Scorecard!J100</f>
        <v/>
      </c>
      <c r="K24">
        <f>Scorecard!K100</f>
        <v/>
      </c>
      <c r="L24">
        <f>Scorecard!L100</f>
        <v/>
      </c>
    </row>
    <row r="25">
      <c r="A25">
        <f>Scorecard!A101</f>
        <v/>
      </c>
      <c r="B25">
        <f>Scorecard!B101</f>
        <v/>
      </c>
      <c r="C25">
        <f>Scorecard!C101</f>
        <v/>
      </c>
      <c r="D25">
        <f>Scorecard!D101</f>
        <v/>
      </c>
      <c r="E25">
        <f>Scorecard!E101</f>
        <v/>
      </c>
      <c r="F25">
        <f>Scorecard!F101</f>
        <v/>
      </c>
      <c r="G25">
        <f>Scorecard!G101</f>
        <v/>
      </c>
      <c r="H25">
        <f>Scorecard!H101</f>
        <v/>
      </c>
      <c r="I25">
        <f>Scorecard!I101</f>
        <v/>
      </c>
      <c r="J25">
        <f>Scorecard!J101</f>
        <v/>
      </c>
      <c r="K25">
        <f>Scorecard!K101</f>
        <v/>
      </c>
      <c r="L25">
        <f>Scorecard!L101</f>
        <v/>
      </c>
    </row>
    <row r="26">
      <c r="A26">
        <f>Scorecard!A102</f>
        <v/>
      </c>
      <c r="B26">
        <f>Scorecard!B102</f>
        <v/>
      </c>
      <c r="C26">
        <f>Scorecard!C102</f>
        <v/>
      </c>
      <c r="D26">
        <f>Scorecard!D102</f>
        <v/>
      </c>
      <c r="E26">
        <f>Scorecard!E102</f>
        <v/>
      </c>
      <c r="F26">
        <f>Scorecard!F102</f>
        <v/>
      </c>
      <c r="G26">
        <f>Scorecard!G102</f>
        <v/>
      </c>
      <c r="H26">
        <f>Scorecard!H102</f>
        <v/>
      </c>
      <c r="I26">
        <f>Scorecard!I102</f>
        <v/>
      </c>
      <c r="J26">
        <f>Scorecard!J102</f>
        <v/>
      </c>
      <c r="K26">
        <f>Scorecard!K102</f>
        <v/>
      </c>
      <c r="L26">
        <f>Scorecard!L102</f>
        <v/>
      </c>
    </row>
    <row r="27">
      <c r="A27">
        <f>Scorecard!A103</f>
        <v/>
      </c>
      <c r="B27">
        <f>Scorecard!B103</f>
        <v/>
      </c>
      <c r="C27">
        <f>Scorecard!C103</f>
        <v/>
      </c>
      <c r="D27">
        <f>Scorecard!D103</f>
        <v/>
      </c>
      <c r="E27">
        <f>Scorecard!E103</f>
        <v/>
      </c>
      <c r="F27">
        <f>Scorecard!F103</f>
        <v/>
      </c>
      <c r="G27">
        <f>Scorecard!G103</f>
        <v/>
      </c>
      <c r="H27">
        <f>Scorecard!H103</f>
        <v/>
      </c>
      <c r="I27">
        <f>Scorecard!I103</f>
        <v/>
      </c>
      <c r="J27">
        <f>Scorecard!J103</f>
        <v/>
      </c>
      <c r="K27">
        <f>Scorecard!K103</f>
        <v/>
      </c>
      <c r="L27">
        <f>Scorecard!L103</f>
        <v/>
      </c>
    </row>
    <row r="29" ht="18" customHeight="1">
      <c r="A29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M2"/>
    <mergeCell ref="A1:M1"/>
    <mergeCell ref="A29:M29"/>
  </mergeCells>
  <hyperlinks>
    <hyperlink xmlns:r="http://schemas.openxmlformats.org/officeDocument/2006/relationships" ref="A29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42" customWidth="1" min="4" max="4"/>
    <col width="9" customWidth="1" min="5" max="5"/>
    <col width="26" customWidth="1" min="6" max="6"/>
    <col width="30" customWidth="1" min="7" max="7"/>
    <col width="9" customWidth="1" min="8" max="8"/>
    <col width="16" customWidth="1" min="9" max="9"/>
    <col width="18" customWidth="1" min="10" max="10"/>
    <col width="3" customWidth="1" min="11" max="11"/>
    <col width="11" customWidth="1" min="12" max="12"/>
    <col width="6" customWidth="1" min="13" max="13"/>
  </cols>
  <sheetData>
    <row r="1" ht="28" customHeight="1">
      <c r="A1" s="1" t="inlineStr">
        <is>
          <t>Analytics and Insight - Detail View</t>
        </is>
      </c>
    </row>
    <row r="2">
      <c r="A2" s="2" t="inlineStr">
        <is>
          <t>Live-linked view of Scorecard rows 105-127. Edit scores on 'Scorecard'; this sheet mirrors, it does not recompute.</t>
        </is>
      </c>
    </row>
    <row r="4">
      <c r="A4" s="7" t="inlineStr">
        <is>
          <t>Category</t>
        </is>
      </c>
      <c r="B4" s="7" t="inlineStr">
        <is>
          <t>Sub-audit</t>
        </is>
      </c>
      <c r="C4" s="7" t="inlineStr">
        <is>
          <t>Leaf ID</t>
        </is>
      </c>
      <c r="D4" s="7" t="inlineStr">
        <is>
          <t>Description</t>
        </is>
      </c>
      <c r="E4" s="7" t="inlineStr">
        <is>
          <t>Score (0-6)</t>
        </is>
      </c>
      <c r="F4" s="7" t="inlineStr">
        <is>
          <t>Evidence pointer</t>
        </is>
      </c>
      <c r="G4" s="7" t="inlineStr">
        <is>
          <t>Justification</t>
        </is>
      </c>
      <c r="H4" s="7" t="inlineStr">
        <is>
          <t>Weight</t>
        </is>
      </c>
      <c r="I4" s="7" t="inlineStr">
        <is>
          <t>Included?</t>
        </is>
      </c>
      <c r="J4" s="7" t="inlineStr">
        <is>
          <t>Row type</t>
        </is>
      </c>
      <c r="K4" s="7" t="inlineStr"/>
      <c r="L4" s="7" t="inlineStr">
        <is>
          <t>Rollup %</t>
        </is>
      </c>
      <c r="M4" s="7" t="inlineStr"/>
    </row>
    <row r="5">
      <c r="A5">
        <f>Scorecard!A105</f>
        <v/>
      </c>
      <c r="B5">
        <f>Scorecard!B105</f>
        <v/>
      </c>
      <c r="C5">
        <f>Scorecard!C105</f>
        <v/>
      </c>
      <c r="D5">
        <f>Scorecard!D105</f>
        <v/>
      </c>
      <c r="E5">
        <f>Scorecard!E105</f>
        <v/>
      </c>
      <c r="F5">
        <f>Scorecard!F105</f>
        <v/>
      </c>
      <c r="G5">
        <f>Scorecard!G105</f>
        <v/>
      </c>
      <c r="H5">
        <f>Scorecard!H105</f>
        <v/>
      </c>
      <c r="I5">
        <f>Scorecard!I105</f>
        <v/>
      </c>
      <c r="J5">
        <f>Scorecard!J105</f>
        <v/>
      </c>
      <c r="K5">
        <f>Scorecard!K105</f>
        <v/>
      </c>
      <c r="L5">
        <f>Scorecard!L105</f>
        <v/>
      </c>
    </row>
    <row r="6">
      <c r="A6">
        <f>Scorecard!A106</f>
        <v/>
      </c>
      <c r="B6">
        <f>Scorecard!B106</f>
        <v/>
      </c>
      <c r="C6">
        <f>Scorecard!C106</f>
        <v/>
      </c>
      <c r="D6">
        <f>Scorecard!D106</f>
        <v/>
      </c>
      <c r="E6">
        <f>Scorecard!E106</f>
        <v/>
      </c>
      <c r="F6">
        <f>Scorecard!F106</f>
        <v/>
      </c>
      <c r="G6">
        <f>Scorecard!G106</f>
        <v/>
      </c>
      <c r="H6">
        <f>Scorecard!H106</f>
        <v/>
      </c>
      <c r="I6">
        <f>Scorecard!I106</f>
        <v/>
      </c>
      <c r="J6">
        <f>Scorecard!J106</f>
        <v/>
      </c>
      <c r="K6">
        <f>Scorecard!K106</f>
        <v/>
      </c>
      <c r="L6">
        <f>Scorecard!L106</f>
        <v/>
      </c>
    </row>
    <row r="7">
      <c r="A7">
        <f>Scorecard!A107</f>
        <v/>
      </c>
      <c r="B7">
        <f>Scorecard!B107</f>
        <v/>
      </c>
      <c r="C7">
        <f>Scorecard!C107</f>
        <v/>
      </c>
      <c r="D7">
        <f>Scorecard!D107</f>
        <v/>
      </c>
      <c r="E7">
        <f>Scorecard!E107</f>
        <v/>
      </c>
      <c r="F7">
        <f>Scorecard!F107</f>
        <v/>
      </c>
      <c r="G7">
        <f>Scorecard!G107</f>
        <v/>
      </c>
      <c r="H7">
        <f>Scorecard!H107</f>
        <v/>
      </c>
      <c r="I7">
        <f>Scorecard!I107</f>
        <v/>
      </c>
      <c r="J7">
        <f>Scorecard!J107</f>
        <v/>
      </c>
      <c r="K7">
        <f>Scorecard!K107</f>
        <v/>
      </c>
      <c r="L7">
        <f>Scorecard!L107</f>
        <v/>
      </c>
    </row>
    <row r="8">
      <c r="A8">
        <f>Scorecard!A108</f>
        <v/>
      </c>
      <c r="B8">
        <f>Scorecard!B108</f>
        <v/>
      </c>
      <c r="C8">
        <f>Scorecard!C108</f>
        <v/>
      </c>
      <c r="D8">
        <f>Scorecard!D108</f>
        <v/>
      </c>
      <c r="E8">
        <f>Scorecard!E108</f>
        <v/>
      </c>
      <c r="F8">
        <f>Scorecard!F108</f>
        <v/>
      </c>
      <c r="G8">
        <f>Scorecard!G108</f>
        <v/>
      </c>
      <c r="H8">
        <f>Scorecard!H108</f>
        <v/>
      </c>
      <c r="I8">
        <f>Scorecard!I108</f>
        <v/>
      </c>
      <c r="J8">
        <f>Scorecard!J108</f>
        <v/>
      </c>
      <c r="K8">
        <f>Scorecard!K108</f>
        <v/>
      </c>
      <c r="L8">
        <f>Scorecard!L108</f>
        <v/>
      </c>
    </row>
    <row r="9">
      <c r="A9">
        <f>Scorecard!A109</f>
        <v/>
      </c>
      <c r="B9">
        <f>Scorecard!B109</f>
        <v/>
      </c>
      <c r="C9">
        <f>Scorecard!C109</f>
        <v/>
      </c>
      <c r="D9">
        <f>Scorecard!D109</f>
        <v/>
      </c>
      <c r="E9">
        <f>Scorecard!E109</f>
        <v/>
      </c>
      <c r="F9">
        <f>Scorecard!F109</f>
        <v/>
      </c>
      <c r="G9">
        <f>Scorecard!G109</f>
        <v/>
      </c>
      <c r="H9">
        <f>Scorecard!H109</f>
        <v/>
      </c>
      <c r="I9">
        <f>Scorecard!I109</f>
        <v/>
      </c>
      <c r="J9">
        <f>Scorecard!J109</f>
        <v/>
      </c>
      <c r="K9">
        <f>Scorecard!K109</f>
        <v/>
      </c>
      <c r="L9">
        <f>Scorecard!L109</f>
        <v/>
      </c>
    </row>
    <row r="10">
      <c r="A10">
        <f>Scorecard!A110</f>
        <v/>
      </c>
      <c r="B10">
        <f>Scorecard!B110</f>
        <v/>
      </c>
      <c r="C10">
        <f>Scorecard!C110</f>
        <v/>
      </c>
      <c r="D10">
        <f>Scorecard!D110</f>
        <v/>
      </c>
      <c r="E10">
        <f>Scorecard!E110</f>
        <v/>
      </c>
      <c r="F10">
        <f>Scorecard!F110</f>
        <v/>
      </c>
      <c r="G10">
        <f>Scorecard!G110</f>
        <v/>
      </c>
      <c r="H10">
        <f>Scorecard!H110</f>
        <v/>
      </c>
      <c r="I10">
        <f>Scorecard!I110</f>
        <v/>
      </c>
      <c r="J10">
        <f>Scorecard!J110</f>
        <v/>
      </c>
      <c r="K10">
        <f>Scorecard!K110</f>
        <v/>
      </c>
      <c r="L10">
        <f>Scorecard!L110</f>
        <v/>
      </c>
    </row>
    <row r="11">
      <c r="A11">
        <f>Scorecard!A111</f>
        <v/>
      </c>
      <c r="B11">
        <f>Scorecard!B111</f>
        <v/>
      </c>
      <c r="C11">
        <f>Scorecard!C111</f>
        <v/>
      </c>
      <c r="D11">
        <f>Scorecard!D111</f>
        <v/>
      </c>
      <c r="E11">
        <f>Scorecard!E111</f>
        <v/>
      </c>
      <c r="F11">
        <f>Scorecard!F111</f>
        <v/>
      </c>
      <c r="G11">
        <f>Scorecard!G111</f>
        <v/>
      </c>
      <c r="H11">
        <f>Scorecard!H111</f>
        <v/>
      </c>
      <c r="I11">
        <f>Scorecard!I111</f>
        <v/>
      </c>
      <c r="J11">
        <f>Scorecard!J111</f>
        <v/>
      </c>
      <c r="K11">
        <f>Scorecard!K111</f>
        <v/>
      </c>
      <c r="L11">
        <f>Scorecard!L111</f>
        <v/>
      </c>
    </row>
    <row r="12">
      <c r="A12">
        <f>Scorecard!A112</f>
        <v/>
      </c>
      <c r="B12">
        <f>Scorecard!B112</f>
        <v/>
      </c>
      <c r="C12">
        <f>Scorecard!C112</f>
        <v/>
      </c>
      <c r="D12">
        <f>Scorecard!D112</f>
        <v/>
      </c>
      <c r="E12">
        <f>Scorecard!E112</f>
        <v/>
      </c>
      <c r="F12">
        <f>Scorecard!F112</f>
        <v/>
      </c>
      <c r="G12">
        <f>Scorecard!G112</f>
        <v/>
      </c>
      <c r="H12">
        <f>Scorecard!H112</f>
        <v/>
      </c>
      <c r="I12">
        <f>Scorecard!I112</f>
        <v/>
      </c>
      <c r="J12">
        <f>Scorecard!J112</f>
        <v/>
      </c>
      <c r="K12">
        <f>Scorecard!K112</f>
        <v/>
      </c>
      <c r="L12">
        <f>Scorecard!L112</f>
        <v/>
      </c>
    </row>
    <row r="13">
      <c r="A13">
        <f>Scorecard!A113</f>
        <v/>
      </c>
      <c r="B13">
        <f>Scorecard!B113</f>
        <v/>
      </c>
      <c r="C13">
        <f>Scorecard!C113</f>
        <v/>
      </c>
      <c r="D13">
        <f>Scorecard!D113</f>
        <v/>
      </c>
      <c r="E13">
        <f>Scorecard!E113</f>
        <v/>
      </c>
      <c r="F13">
        <f>Scorecard!F113</f>
        <v/>
      </c>
      <c r="G13">
        <f>Scorecard!G113</f>
        <v/>
      </c>
      <c r="H13">
        <f>Scorecard!H113</f>
        <v/>
      </c>
      <c r="I13">
        <f>Scorecard!I113</f>
        <v/>
      </c>
      <c r="J13">
        <f>Scorecard!J113</f>
        <v/>
      </c>
      <c r="K13">
        <f>Scorecard!K113</f>
        <v/>
      </c>
      <c r="L13">
        <f>Scorecard!L113</f>
        <v/>
      </c>
    </row>
    <row r="14">
      <c r="A14">
        <f>Scorecard!A114</f>
        <v/>
      </c>
      <c r="B14">
        <f>Scorecard!B114</f>
        <v/>
      </c>
      <c r="C14">
        <f>Scorecard!C114</f>
        <v/>
      </c>
      <c r="D14">
        <f>Scorecard!D114</f>
        <v/>
      </c>
      <c r="E14">
        <f>Scorecard!E114</f>
        <v/>
      </c>
      <c r="F14">
        <f>Scorecard!F114</f>
        <v/>
      </c>
      <c r="G14">
        <f>Scorecard!G114</f>
        <v/>
      </c>
      <c r="H14">
        <f>Scorecard!H114</f>
        <v/>
      </c>
      <c r="I14">
        <f>Scorecard!I114</f>
        <v/>
      </c>
      <c r="J14">
        <f>Scorecard!J114</f>
        <v/>
      </c>
      <c r="K14">
        <f>Scorecard!K114</f>
        <v/>
      </c>
      <c r="L14">
        <f>Scorecard!L114</f>
        <v/>
      </c>
    </row>
    <row r="15">
      <c r="A15">
        <f>Scorecard!A115</f>
        <v/>
      </c>
      <c r="B15">
        <f>Scorecard!B115</f>
        <v/>
      </c>
      <c r="C15">
        <f>Scorecard!C115</f>
        <v/>
      </c>
      <c r="D15">
        <f>Scorecard!D115</f>
        <v/>
      </c>
      <c r="E15">
        <f>Scorecard!E115</f>
        <v/>
      </c>
      <c r="F15">
        <f>Scorecard!F115</f>
        <v/>
      </c>
      <c r="G15">
        <f>Scorecard!G115</f>
        <v/>
      </c>
      <c r="H15">
        <f>Scorecard!H115</f>
        <v/>
      </c>
      <c r="I15">
        <f>Scorecard!I115</f>
        <v/>
      </c>
      <c r="J15">
        <f>Scorecard!J115</f>
        <v/>
      </c>
      <c r="K15">
        <f>Scorecard!K115</f>
        <v/>
      </c>
      <c r="L15">
        <f>Scorecard!L115</f>
        <v/>
      </c>
    </row>
    <row r="16">
      <c r="A16">
        <f>Scorecard!A116</f>
        <v/>
      </c>
      <c r="B16">
        <f>Scorecard!B116</f>
        <v/>
      </c>
      <c r="C16">
        <f>Scorecard!C116</f>
        <v/>
      </c>
      <c r="D16">
        <f>Scorecard!D116</f>
        <v/>
      </c>
      <c r="E16">
        <f>Scorecard!E116</f>
        <v/>
      </c>
      <c r="F16">
        <f>Scorecard!F116</f>
        <v/>
      </c>
      <c r="G16">
        <f>Scorecard!G116</f>
        <v/>
      </c>
      <c r="H16">
        <f>Scorecard!H116</f>
        <v/>
      </c>
      <c r="I16">
        <f>Scorecard!I116</f>
        <v/>
      </c>
      <c r="J16">
        <f>Scorecard!J116</f>
        <v/>
      </c>
      <c r="K16">
        <f>Scorecard!K116</f>
        <v/>
      </c>
      <c r="L16">
        <f>Scorecard!L116</f>
        <v/>
      </c>
    </row>
    <row r="17">
      <c r="A17">
        <f>Scorecard!A117</f>
        <v/>
      </c>
      <c r="B17">
        <f>Scorecard!B117</f>
        <v/>
      </c>
      <c r="C17">
        <f>Scorecard!C117</f>
        <v/>
      </c>
      <c r="D17">
        <f>Scorecard!D117</f>
        <v/>
      </c>
      <c r="E17">
        <f>Scorecard!E117</f>
        <v/>
      </c>
      <c r="F17">
        <f>Scorecard!F117</f>
        <v/>
      </c>
      <c r="G17">
        <f>Scorecard!G117</f>
        <v/>
      </c>
      <c r="H17">
        <f>Scorecard!H117</f>
        <v/>
      </c>
      <c r="I17">
        <f>Scorecard!I117</f>
        <v/>
      </c>
      <c r="J17">
        <f>Scorecard!J117</f>
        <v/>
      </c>
      <c r="K17">
        <f>Scorecard!K117</f>
        <v/>
      </c>
      <c r="L17">
        <f>Scorecard!L117</f>
        <v/>
      </c>
    </row>
    <row r="18">
      <c r="A18">
        <f>Scorecard!A118</f>
        <v/>
      </c>
      <c r="B18">
        <f>Scorecard!B118</f>
        <v/>
      </c>
      <c r="C18">
        <f>Scorecard!C118</f>
        <v/>
      </c>
      <c r="D18">
        <f>Scorecard!D118</f>
        <v/>
      </c>
      <c r="E18">
        <f>Scorecard!E118</f>
        <v/>
      </c>
      <c r="F18">
        <f>Scorecard!F118</f>
        <v/>
      </c>
      <c r="G18">
        <f>Scorecard!G118</f>
        <v/>
      </c>
      <c r="H18">
        <f>Scorecard!H118</f>
        <v/>
      </c>
      <c r="I18">
        <f>Scorecard!I118</f>
        <v/>
      </c>
      <c r="J18">
        <f>Scorecard!J118</f>
        <v/>
      </c>
      <c r="K18">
        <f>Scorecard!K118</f>
        <v/>
      </c>
      <c r="L18">
        <f>Scorecard!L118</f>
        <v/>
      </c>
    </row>
    <row r="19">
      <c r="A19">
        <f>Scorecard!A119</f>
        <v/>
      </c>
      <c r="B19">
        <f>Scorecard!B119</f>
        <v/>
      </c>
      <c r="C19">
        <f>Scorecard!C119</f>
        <v/>
      </c>
      <c r="D19">
        <f>Scorecard!D119</f>
        <v/>
      </c>
      <c r="E19">
        <f>Scorecard!E119</f>
        <v/>
      </c>
      <c r="F19">
        <f>Scorecard!F119</f>
        <v/>
      </c>
      <c r="G19">
        <f>Scorecard!G119</f>
        <v/>
      </c>
      <c r="H19">
        <f>Scorecard!H119</f>
        <v/>
      </c>
      <c r="I19">
        <f>Scorecard!I119</f>
        <v/>
      </c>
      <c r="J19">
        <f>Scorecard!J119</f>
        <v/>
      </c>
      <c r="K19">
        <f>Scorecard!K119</f>
        <v/>
      </c>
      <c r="L19">
        <f>Scorecard!L119</f>
        <v/>
      </c>
    </row>
    <row r="20">
      <c r="A20">
        <f>Scorecard!A120</f>
        <v/>
      </c>
      <c r="B20">
        <f>Scorecard!B120</f>
        <v/>
      </c>
      <c r="C20">
        <f>Scorecard!C120</f>
        <v/>
      </c>
      <c r="D20">
        <f>Scorecard!D120</f>
        <v/>
      </c>
      <c r="E20">
        <f>Scorecard!E120</f>
        <v/>
      </c>
      <c r="F20">
        <f>Scorecard!F120</f>
        <v/>
      </c>
      <c r="G20">
        <f>Scorecard!G120</f>
        <v/>
      </c>
      <c r="H20">
        <f>Scorecard!H120</f>
        <v/>
      </c>
      <c r="I20">
        <f>Scorecard!I120</f>
        <v/>
      </c>
      <c r="J20">
        <f>Scorecard!J120</f>
        <v/>
      </c>
      <c r="K20">
        <f>Scorecard!K120</f>
        <v/>
      </c>
      <c r="L20">
        <f>Scorecard!L120</f>
        <v/>
      </c>
    </row>
    <row r="21">
      <c r="A21">
        <f>Scorecard!A121</f>
        <v/>
      </c>
      <c r="B21">
        <f>Scorecard!B121</f>
        <v/>
      </c>
      <c r="C21">
        <f>Scorecard!C121</f>
        <v/>
      </c>
      <c r="D21">
        <f>Scorecard!D121</f>
        <v/>
      </c>
      <c r="E21">
        <f>Scorecard!E121</f>
        <v/>
      </c>
      <c r="F21">
        <f>Scorecard!F121</f>
        <v/>
      </c>
      <c r="G21">
        <f>Scorecard!G121</f>
        <v/>
      </c>
      <c r="H21">
        <f>Scorecard!H121</f>
        <v/>
      </c>
      <c r="I21">
        <f>Scorecard!I121</f>
        <v/>
      </c>
      <c r="J21">
        <f>Scorecard!J121</f>
        <v/>
      </c>
      <c r="K21">
        <f>Scorecard!K121</f>
        <v/>
      </c>
      <c r="L21">
        <f>Scorecard!L121</f>
        <v/>
      </c>
    </row>
    <row r="22">
      <c r="A22">
        <f>Scorecard!A122</f>
        <v/>
      </c>
      <c r="B22">
        <f>Scorecard!B122</f>
        <v/>
      </c>
      <c r="C22">
        <f>Scorecard!C122</f>
        <v/>
      </c>
      <c r="D22">
        <f>Scorecard!D122</f>
        <v/>
      </c>
      <c r="E22">
        <f>Scorecard!E122</f>
        <v/>
      </c>
      <c r="F22">
        <f>Scorecard!F122</f>
        <v/>
      </c>
      <c r="G22">
        <f>Scorecard!G122</f>
        <v/>
      </c>
      <c r="H22">
        <f>Scorecard!H122</f>
        <v/>
      </c>
      <c r="I22">
        <f>Scorecard!I122</f>
        <v/>
      </c>
      <c r="J22">
        <f>Scorecard!J122</f>
        <v/>
      </c>
      <c r="K22">
        <f>Scorecard!K122</f>
        <v/>
      </c>
      <c r="L22">
        <f>Scorecard!L122</f>
        <v/>
      </c>
    </row>
    <row r="23">
      <c r="A23">
        <f>Scorecard!A123</f>
        <v/>
      </c>
      <c r="B23">
        <f>Scorecard!B123</f>
        <v/>
      </c>
      <c r="C23">
        <f>Scorecard!C123</f>
        <v/>
      </c>
      <c r="D23">
        <f>Scorecard!D123</f>
        <v/>
      </c>
      <c r="E23">
        <f>Scorecard!E123</f>
        <v/>
      </c>
      <c r="F23">
        <f>Scorecard!F123</f>
        <v/>
      </c>
      <c r="G23">
        <f>Scorecard!G123</f>
        <v/>
      </c>
      <c r="H23">
        <f>Scorecard!H123</f>
        <v/>
      </c>
      <c r="I23">
        <f>Scorecard!I123</f>
        <v/>
      </c>
      <c r="J23">
        <f>Scorecard!J123</f>
        <v/>
      </c>
      <c r="K23">
        <f>Scorecard!K123</f>
        <v/>
      </c>
      <c r="L23">
        <f>Scorecard!L123</f>
        <v/>
      </c>
    </row>
    <row r="24">
      <c r="A24">
        <f>Scorecard!A124</f>
        <v/>
      </c>
      <c r="B24">
        <f>Scorecard!B124</f>
        <v/>
      </c>
      <c r="C24">
        <f>Scorecard!C124</f>
        <v/>
      </c>
      <c r="D24">
        <f>Scorecard!D124</f>
        <v/>
      </c>
      <c r="E24">
        <f>Scorecard!E124</f>
        <v/>
      </c>
      <c r="F24">
        <f>Scorecard!F124</f>
        <v/>
      </c>
      <c r="G24">
        <f>Scorecard!G124</f>
        <v/>
      </c>
      <c r="H24">
        <f>Scorecard!H124</f>
        <v/>
      </c>
      <c r="I24">
        <f>Scorecard!I124</f>
        <v/>
      </c>
      <c r="J24">
        <f>Scorecard!J124</f>
        <v/>
      </c>
      <c r="K24">
        <f>Scorecard!K124</f>
        <v/>
      </c>
      <c r="L24">
        <f>Scorecard!L124</f>
        <v/>
      </c>
    </row>
    <row r="25">
      <c r="A25">
        <f>Scorecard!A125</f>
        <v/>
      </c>
      <c r="B25">
        <f>Scorecard!B125</f>
        <v/>
      </c>
      <c r="C25">
        <f>Scorecard!C125</f>
        <v/>
      </c>
      <c r="D25">
        <f>Scorecard!D125</f>
        <v/>
      </c>
      <c r="E25">
        <f>Scorecard!E125</f>
        <v/>
      </c>
      <c r="F25">
        <f>Scorecard!F125</f>
        <v/>
      </c>
      <c r="G25">
        <f>Scorecard!G125</f>
        <v/>
      </c>
      <c r="H25">
        <f>Scorecard!H125</f>
        <v/>
      </c>
      <c r="I25">
        <f>Scorecard!I125</f>
        <v/>
      </c>
      <c r="J25">
        <f>Scorecard!J125</f>
        <v/>
      </c>
      <c r="K25">
        <f>Scorecard!K125</f>
        <v/>
      </c>
      <c r="L25">
        <f>Scorecard!L125</f>
        <v/>
      </c>
    </row>
    <row r="26">
      <c r="A26">
        <f>Scorecard!A126</f>
        <v/>
      </c>
      <c r="B26">
        <f>Scorecard!B126</f>
        <v/>
      </c>
      <c r="C26">
        <f>Scorecard!C126</f>
        <v/>
      </c>
      <c r="D26">
        <f>Scorecard!D126</f>
        <v/>
      </c>
      <c r="E26">
        <f>Scorecard!E126</f>
        <v/>
      </c>
      <c r="F26">
        <f>Scorecard!F126</f>
        <v/>
      </c>
      <c r="G26">
        <f>Scorecard!G126</f>
        <v/>
      </c>
      <c r="H26">
        <f>Scorecard!H126</f>
        <v/>
      </c>
      <c r="I26">
        <f>Scorecard!I126</f>
        <v/>
      </c>
      <c r="J26">
        <f>Scorecard!J126</f>
        <v/>
      </c>
      <c r="K26">
        <f>Scorecard!K126</f>
        <v/>
      </c>
      <c r="L26">
        <f>Scorecard!L126</f>
        <v/>
      </c>
    </row>
    <row r="27">
      <c r="A27">
        <f>Scorecard!A127</f>
        <v/>
      </c>
      <c r="B27">
        <f>Scorecard!B127</f>
        <v/>
      </c>
      <c r="C27">
        <f>Scorecard!C127</f>
        <v/>
      </c>
      <c r="D27">
        <f>Scorecard!D127</f>
        <v/>
      </c>
      <c r="E27">
        <f>Scorecard!E127</f>
        <v/>
      </c>
      <c r="F27">
        <f>Scorecard!F127</f>
        <v/>
      </c>
      <c r="G27">
        <f>Scorecard!G127</f>
        <v/>
      </c>
      <c r="H27">
        <f>Scorecard!H127</f>
        <v/>
      </c>
      <c r="I27">
        <f>Scorecard!I127</f>
        <v/>
      </c>
      <c r="J27">
        <f>Scorecard!J127</f>
        <v/>
      </c>
      <c r="K27">
        <f>Scorecard!K127</f>
        <v/>
      </c>
      <c r="L27">
        <f>Scorecard!L127</f>
        <v/>
      </c>
    </row>
    <row r="29" ht="18" customHeight="1">
      <c r="A29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M2"/>
    <mergeCell ref="A1:M1"/>
    <mergeCell ref="A29:M29"/>
  </mergeCells>
  <hyperlinks>
    <hyperlink xmlns:r="http://schemas.openxmlformats.org/officeDocument/2006/relationships" ref="A29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42" customWidth="1" min="4" max="4"/>
    <col width="9" customWidth="1" min="5" max="5"/>
    <col width="26" customWidth="1" min="6" max="6"/>
    <col width="30" customWidth="1" min="7" max="7"/>
    <col width="9" customWidth="1" min="8" max="8"/>
    <col width="16" customWidth="1" min="9" max="9"/>
    <col width="18" customWidth="1" min="10" max="10"/>
    <col width="3" customWidth="1" min="11" max="11"/>
    <col width="11" customWidth="1" min="12" max="12"/>
    <col width="6" customWidth="1" min="13" max="13"/>
  </cols>
  <sheetData>
    <row r="1" ht="28" customHeight="1">
      <c r="A1" s="1" t="inlineStr">
        <is>
          <t>Technical Deployment - Detail View</t>
        </is>
      </c>
    </row>
    <row r="2">
      <c r="A2" s="2" t="inlineStr">
        <is>
          <t>Live-linked view of Scorecard rows 129-151. Edit scores on 'Scorecard'; this sheet mirrors, it does not recompute.</t>
        </is>
      </c>
    </row>
    <row r="4">
      <c r="A4" s="7" t="inlineStr">
        <is>
          <t>Category</t>
        </is>
      </c>
      <c r="B4" s="7" t="inlineStr">
        <is>
          <t>Sub-audit</t>
        </is>
      </c>
      <c r="C4" s="7" t="inlineStr">
        <is>
          <t>Leaf ID</t>
        </is>
      </c>
      <c r="D4" s="7" t="inlineStr">
        <is>
          <t>Description</t>
        </is>
      </c>
      <c r="E4" s="7" t="inlineStr">
        <is>
          <t>Score (0-6)</t>
        </is>
      </c>
      <c r="F4" s="7" t="inlineStr">
        <is>
          <t>Evidence pointer</t>
        </is>
      </c>
      <c r="G4" s="7" t="inlineStr">
        <is>
          <t>Justification</t>
        </is>
      </c>
      <c r="H4" s="7" t="inlineStr">
        <is>
          <t>Weight</t>
        </is>
      </c>
      <c r="I4" s="7" t="inlineStr">
        <is>
          <t>Included?</t>
        </is>
      </c>
      <c r="J4" s="7" t="inlineStr">
        <is>
          <t>Row type</t>
        </is>
      </c>
      <c r="K4" s="7" t="inlineStr"/>
      <c r="L4" s="7" t="inlineStr">
        <is>
          <t>Rollup %</t>
        </is>
      </c>
      <c r="M4" s="7" t="inlineStr"/>
    </row>
    <row r="5">
      <c r="A5">
        <f>Scorecard!A129</f>
        <v/>
      </c>
      <c r="B5">
        <f>Scorecard!B129</f>
        <v/>
      </c>
      <c r="C5">
        <f>Scorecard!C129</f>
        <v/>
      </c>
      <c r="D5">
        <f>Scorecard!D129</f>
        <v/>
      </c>
      <c r="E5">
        <f>Scorecard!E129</f>
        <v/>
      </c>
      <c r="F5">
        <f>Scorecard!F129</f>
        <v/>
      </c>
      <c r="G5">
        <f>Scorecard!G129</f>
        <v/>
      </c>
      <c r="H5">
        <f>Scorecard!H129</f>
        <v/>
      </c>
      <c r="I5">
        <f>Scorecard!I129</f>
        <v/>
      </c>
      <c r="J5">
        <f>Scorecard!J129</f>
        <v/>
      </c>
      <c r="K5">
        <f>Scorecard!K129</f>
        <v/>
      </c>
      <c r="L5">
        <f>Scorecard!L129</f>
        <v/>
      </c>
    </row>
    <row r="6">
      <c r="A6">
        <f>Scorecard!A130</f>
        <v/>
      </c>
      <c r="B6">
        <f>Scorecard!B130</f>
        <v/>
      </c>
      <c r="C6">
        <f>Scorecard!C130</f>
        <v/>
      </c>
      <c r="D6">
        <f>Scorecard!D130</f>
        <v/>
      </c>
      <c r="E6">
        <f>Scorecard!E130</f>
        <v/>
      </c>
      <c r="F6">
        <f>Scorecard!F130</f>
        <v/>
      </c>
      <c r="G6">
        <f>Scorecard!G130</f>
        <v/>
      </c>
      <c r="H6">
        <f>Scorecard!H130</f>
        <v/>
      </c>
      <c r="I6">
        <f>Scorecard!I130</f>
        <v/>
      </c>
      <c r="J6">
        <f>Scorecard!J130</f>
        <v/>
      </c>
      <c r="K6">
        <f>Scorecard!K130</f>
        <v/>
      </c>
      <c r="L6">
        <f>Scorecard!L130</f>
        <v/>
      </c>
    </row>
    <row r="7">
      <c r="A7">
        <f>Scorecard!A131</f>
        <v/>
      </c>
      <c r="B7">
        <f>Scorecard!B131</f>
        <v/>
      </c>
      <c r="C7">
        <f>Scorecard!C131</f>
        <v/>
      </c>
      <c r="D7">
        <f>Scorecard!D131</f>
        <v/>
      </c>
      <c r="E7">
        <f>Scorecard!E131</f>
        <v/>
      </c>
      <c r="F7">
        <f>Scorecard!F131</f>
        <v/>
      </c>
      <c r="G7">
        <f>Scorecard!G131</f>
        <v/>
      </c>
      <c r="H7">
        <f>Scorecard!H131</f>
        <v/>
      </c>
      <c r="I7">
        <f>Scorecard!I131</f>
        <v/>
      </c>
      <c r="J7">
        <f>Scorecard!J131</f>
        <v/>
      </c>
      <c r="K7">
        <f>Scorecard!K131</f>
        <v/>
      </c>
      <c r="L7">
        <f>Scorecard!L131</f>
        <v/>
      </c>
    </row>
    <row r="8">
      <c r="A8">
        <f>Scorecard!A132</f>
        <v/>
      </c>
      <c r="B8">
        <f>Scorecard!B132</f>
        <v/>
      </c>
      <c r="C8">
        <f>Scorecard!C132</f>
        <v/>
      </c>
      <c r="D8">
        <f>Scorecard!D132</f>
        <v/>
      </c>
      <c r="E8">
        <f>Scorecard!E132</f>
        <v/>
      </c>
      <c r="F8">
        <f>Scorecard!F132</f>
        <v/>
      </c>
      <c r="G8">
        <f>Scorecard!G132</f>
        <v/>
      </c>
      <c r="H8">
        <f>Scorecard!H132</f>
        <v/>
      </c>
      <c r="I8">
        <f>Scorecard!I132</f>
        <v/>
      </c>
      <c r="J8">
        <f>Scorecard!J132</f>
        <v/>
      </c>
      <c r="K8">
        <f>Scorecard!K132</f>
        <v/>
      </c>
      <c r="L8">
        <f>Scorecard!L132</f>
        <v/>
      </c>
    </row>
    <row r="9">
      <c r="A9">
        <f>Scorecard!A133</f>
        <v/>
      </c>
      <c r="B9">
        <f>Scorecard!B133</f>
        <v/>
      </c>
      <c r="C9">
        <f>Scorecard!C133</f>
        <v/>
      </c>
      <c r="D9">
        <f>Scorecard!D133</f>
        <v/>
      </c>
      <c r="E9">
        <f>Scorecard!E133</f>
        <v/>
      </c>
      <c r="F9">
        <f>Scorecard!F133</f>
        <v/>
      </c>
      <c r="G9">
        <f>Scorecard!G133</f>
        <v/>
      </c>
      <c r="H9">
        <f>Scorecard!H133</f>
        <v/>
      </c>
      <c r="I9">
        <f>Scorecard!I133</f>
        <v/>
      </c>
      <c r="J9">
        <f>Scorecard!J133</f>
        <v/>
      </c>
      <c r="K9">
        <f>Scorecard!K133</f>
        <v/>
      </c>
      <c r="L9">
        <f>Scorecard!L133</f>
        <v/>
      </c>
    </row>
    <row r="10">
      <c r="A10">
        <f>Scorecard!A134</f>
        <v/>
      </c>
      <c r="B10">
        <f>Scorecard!B134</f>
        <v/>
      </c>
      <c r="C10">
        <f>Scorecard!C134</f>
        <v/>
      </c>
      <c r="D10">
        <f>Scorecard!D134</f>
        <v/>
      </c>
      <c r="E10">
        <f>Scorecard!E134</f>
        <v/>
      </c>
      <c r="F10">
        <f>Scorecard!F134</f>
        <v/>
      </c>
      <c r="G10">
        <f>Scorecard!G134</f>
        <v/>
      </c>
      <c r="H10">
        <f>Scorecard!H134</f>
        <v/>
      </c>
      <c r="I10">
        <f>Scorecard!I134</f>
        <v/>
      </c>
      <c r="J10">
        <f>Scorecard!J134</f>
        <v/>
      </c>
      <c r="K10">
        <f>Scorecard!K134</f>
        <v/>
      </c>
      <c r="L10">
        <f>Scorecard!L134</f>
        <v/>
      </c>
    </row>
    <row r="11">
      <c r="A11">
        <f>Scorecard!A135</f>
        <v/>
      </c>
      <c r="B11">
        <f>Scorecard!B135</f>
        <v/>
      </c>
      <c r="C11">
        <f>Scorecard!C135</f>
        <v/>
      </c>
      <c r="D11">
        <f>Scorecard!D135</f>
        <v/>
      </c>
      <c r="E11">
        <f>Scorecard!E135</f>
        <v/>
      </c>
      <c r="F11">
        <f>Scorecard!F135</f>
        <v/>
      </c>
      <c r="G11">
        <f>Scorecard!G135</f>
        <v/>
      </c>
      <c r="H11">
        <f>Scorecard!H135</f>
        <v/>
      </c>
      <c r="I11">
        <f>Scorecard!I135</f>
        <v/>
      </c>
      <c r="J11">
        <f>Scorecard!J135</f>
        <v/>
      </c>
      <c r="K11">
        <f>Scorecard!K135</f>
        <v/>
      </c>
      <c r="L11">
        <f>Scorecard!L135</f>
        <v/>
      </c>
    </row>
    <row r="12">
      <c r="A12">
        <f>Scorecard!A136</f>
        <v/>
      </c>
      <c r="B12">
        <f>Scorecard!B136</f>
        <v/>
      </c>
      <c r="C12">
        <f>Scorecard!C136</f>
        <v/>
      </c>
      <c r="D12">
        <f>Scorecard!D136</f>
        <v/>
      </c>
      <c r="E12">
        <f>Scorecard!E136</f>
        <v/>
      </c>
      <c r="F12">
        <f>Scorecard!F136</f>
        <v/>
      </c>
      <c r="G12">
        <f>Scorecard!G136</f>
        <v/>
      </c>
      <c r="H12">
        <f>Scorecard!H136</f>
        <v/>
      </c>
      <c r="I12">
        <f>Scorecard!I136</f>
        <v/>
      </c>
      <c r="J12">
        <f>Scorecard!J136</f>
        <v/>
      </c>
      <c r="K12">
        <f>Scorecard!K136</f>
        <v/>
      </c>
      <c r="L12">
        <f>Scorecard!L136</f>
        <v/>
      </c>
    </row>
    <row r="13">
      <c r="A13">
        <f>Scorecard!A137</f>
        <v/>
      </c>
      <c r="B13">
        <f>Scorecard!B137</f>
        <v/>
      </c>
      <c r="C13">
        <f>Scorecard!C137</f>
        <v/>
      </c>
      <c r="D13">
        <f>Scorecard!D137</f>
        <v/>
      </c>
      <c r="E13">
        <f>Scorecard!E137</f>
        <v/>
      </c>
      <c r="F13">
        <f>Scorecard!F137</f>
        <v/>
      </c>
      <c r="G13">
        <f>Scorecard!G137</f>
        <v/>
      </c>
      <c r="H13">
        <f>Scorecard!H137</f>
        <v/>
      </c>
      <c r="I13">
        <f>Scorecard!I137</f>
        <v/>
      </c>
      <c r="J13">
        <f>Scorecard!J137</f>
        <v/>
      </c>
      <c r="K13">
        <f>Scorecard!K137</f>
        <v/>
      </c>
      <c r="L13">
        <f>Scorecard!L137</f>
        <v/>
      </c>
    </row>
    <row r="14">
      <c r="A14">
        <f>Scorecard!A138</f>
        <v/>
      </c>
      <c r="B14">
        <f>Scorecard!B138</f>
        <v/>
      </c>
      <c r="C14">
        <f>Scorecard!C138</f>
        <v/>
      </c>
      <c r="D14">
        <f>Scorecard!D138</f>
        <v/>
      </c>
      <c r="E14">
        <f>Scorecard!E138</f>
        <v/>
      </c>
      <c r="F14">
        <f>Scorecard!F138</f>
        <v/>
      </c>
      <c r="G14">
        <f>Scorecard!G138</f>
        <v/>
      </c>
      <c r="H14">
        <f>Scorecard!H138</f>
        <v/>
      </c>
      <c r="I14">
        <f>Scorecard!I138</f>
        <v/>
      </c>
      <c r="J14">
        <f>Scorecard!J138</f>
        <v/>
      </c>
      <c r="K14">
        <f>Scorecard!K138</f>
        <v/>
      </c>
      <c r="L14">
        <f>Scorecard!L138</f>
        <v/>
      </c>
    </row>
    <row r="15">
      <c r="A15">
        <f>Scorecard!A139</f>
        <v/>
      </c>
      <c r="B15">
        <f>Scorecard!B139</f>
        <v/>
      </c>
      <c r="C15">
        <f>Scorecard!C139</f>
        <v/>
      </c>
      <c r="D15">
        <f>Scorecard!D139</f>
        <v/>
      </c>
      <c r="E15">
        <f>Scorecard!E139</f>
        <v/>
      </c>
      <c r="F15">
        <f>Scorecard!F139</f>
        <v/>
      </c>
      <c r="G15">
        <f>Scorecard!G139</f>
        <v/>
      </c>
      <c r="H15">
        <f>Scorecard!H139</f>
        <v/>
      </c>
      <c r="I15">
        <f>Scorecard!I139</f>
        <v/>
      </c>
      <c r="J15">
        <f>Scorecard!J139</f>
        <v/>
      </c>
      <c r="K15">
        <f>Scorecard!K139</f>
        <v/>
      </c>
      <c r="L15">
        <f>Scorecard!L139</f>
        <v/>
      </c>
    </row>
    <row r="16">
      <c r="A16">
        <f>Scorecard!A140</f>
        <v/>
      </c>
      <c r="B16">
        <f>Scorecard!B140</f>
        <v/>
      </c>
      <c r="C16">
        <f>Scorecard!C140</f>
        <v/>
      </c>
      <c r="D16">
        <f>Scorecard!D140</f>
        <v/>
      </c>
      <c r="E16">
        <f>Scorecard!E140</f>
        <v/>
      </c>
      <c r="F16">
        <f>Scorecard!F140</f>
        <v/>
      </c>
      <c r="G16">
        <f>Scorecard!G140</f>
        <v/>
      </c>
      <c r="H16">
        <f>Scorecard!H140</f>
        <v/>
      </c>
      <c r="I16">
        <f>Scorecard!I140</f>
        <v/>
      </c>
      <c r="J16">
        <f>Scorecard!J140</f>
        <v/>
      </c>
      <c r="K16">
        <f>Scorecard!K140</f>
        <v/>
      </c>
      <c r="L16">
        <f>Scorecard!L140</f>
        <v/>
      </c>
    </row>
    <row r="17">
      <c r="A17">
        <f>Scorecard!A141</f>
        <v/>
      </c>
      <c r="B17">
        <f>Scorecard!B141</f>
        <v/>
      </c>
      <c r="C17">
        <f>Scorecard!C141</f>
        <v/>
      </c>
      <c r="D17">
        <f>Scorecard!D141</f>
        <v/>
      </c>
      <c r="E17">
        <f>Scorecard!E141</f>
        <v/>
      </c>
      <c r="F17">
        <f>Scorecard!F141</f>
        <v/>
      </c>
      <c r="G17">
        <f>Scorecard!G141</f>
        <v/>
      </c>
      <c r="H17">
        <f>Scorecard!H141</f>
        <v/>
      </c>
      <c r="I17">
        <f>Scorecard!I141</f>
        <v/>
      </c>
      <c r="J17">
        <f>Scorecard!J141</f>
        <v/>
      </c>
      <c r="K17">
        <f>Scorecard!K141</f>
        <v/>
      </c>
      <c r="L17">
        <f>Scorecard!L141</f>
        <v/>
      </c>
    </row>
    <row r="18">
      <c r="A18">
        <f>Scorecard!A142</f>
        <v/>
      </c>
      <c r="B18">
        <f>Scorecard!B142</f>
        <v/>
      </c>
      <c r="C18">
        <f>Scorecard!C142</f>
        <v/>
      </c>
      <c r="D18">
        <f>Scorecard!D142</f>
        <v/>
      </c>
      <c r="E18">
        <f>Scorecard!E142</f>
        <v/>
      </c>
      <c r="F18">
        <f>Scorecard!F142</f>
        <v/>
      </c>
      <c r="G18">
        <f>Scorecard!G142</f>
        <v/>
      </c>
      <c r="H18">
        <f>Scorecard!H142</f>
        <v/>
      </c>
      <c r="I18">
        <f>Scorecard!I142</f>
        <v/>
      </c>
      <c r="J18">
        <f>Scorecard!J142</f>
        <v/>
      </c>
      <c r="K18">
        <f>Scorecard!K142</f>
        <v/>
      </c>
      <c r="L18">
        <f>Scorecard!L142</f>
        <v/>
      </c>
    </row>
    <row r="19">
      <c r="A19">
        <f>Scorecard!A143</f>
        <v/>
      </c>
      <c r="B19">
        <f>Scorecard!B143</f>
        <v/>
      </c>
      <c r="C19">
        <f>Scorecard!C143</f>
        <v/>
      </c>
      <c r="D19">
        <f>Scorecard!D143</f>
        <v/>
      </c>
      <c r="E19">
        <f>Scorecard!E143</f>
        <v/>
      </c>
      <c r="F19">
        <f>Scorecard!F143</f>
        <v/>
      </c>
      <c r="G19">
        <f>Scorecard!G143</f>
        <v/>
      </c>
      <c r="H19">
        <f>Scorecard!H143</f>
        <v/>
      </c>
      <c r="I19">
        <f>Scorecard!I143</f>
        <v/>
      </c>
      <c r="J19">
        <f>Scorecard!J143</f>
        <v/>
      </c>
      <c r="K19">
        <f>Scorecard!K143</f>
        <v/>
      </c>
      <c r="L19">
        <f>Scorecard!L143</f>
        <v/>
      </c>
    </row>
    <row r="20">
      <c r="A20">
        <f>Scorecard!A144</f>
        <v/>
      </c>
      <c r="B20">
        <f>Scorecard!B144</f>
        <v/>
      </c>
      <c r="C20">
        <f>Scorecard!C144</f>
        <v/>
      </c>
      <c r="D20">
        <f>Scorecard!D144</f>
        <v/>
      </c>
      <c r="E20">
        <f>Scorecard!E144</f>
        <v/>
      </c>
      <c r="F20">
        <f>Scorecard!F144</f>
        <v/>
      </c>
      <c r="G20">
        <f>Scorecard!G144</f>
        <v/>
      </c>
      <c r="H20">
        <f>Scorecard!H144</f>
        <v/>
      </c>
      <c r="I20">
        <f>Scorecard!I144</f>
        <v/>
      </c>
      <c r="J20">
        <f>Scorecard!J144</f>
        <v/>
      </c>
      <c r="K20">
        <f>Scorecard!K144</f>
        <v/>
      </c>
      <c r="L20">
        <f>Scorecard!L144</f>
        <v/>
      </c>
    </row>
    <row r="21">
      <c r="A21">
        <f>Scorecard!A145</f>
        <v/>
      </c>
      <c r="B21">
        <f>Scorecard!B145</f>
        <v/>
      </c>
      <c r="C21">
        <f>Scorecard!C145</f>
        <v/>
      </c>
      <c r="D21">
        <f>Scorecard!D145</f>
        <v/>
      </c>
      <c r="E21">
        <f>Scorecard!E145</f>
        <v/>
      </c>
      <c r="F21">
        <f>Scorecard!F145</f>
        <v/>
      </c>
      <c r="G21">
        <f>Scorecard!G145</f>
        <v/>
      </c>
      <c r="H21">
        <f>Scorecard!H145</f>
        <v/>
      </c>
      <c r="I21">
        <f>Scorecard!I145</f>
        <v/>
      </c>
      <c r="J21">
        <f>Scorecard!J145</f>
        <v/>
      </c>
      <c r="K21">
        <f>Scorecard!K145</f>
        <v/>
      </c>
      <c r="L21">
        <f>Scorecard!L145</f>
        <v/>
      </c>
    </row>
    <row r="22">
      <c r="A22">
        <f>Scorecard!A146</f>
        <v/>
      </c>
      <c r="B22">
        <f>Scorecard!B146</f>
        <v/>
      </c>
      <c r="C22">
        <f>Scorecard!C146</f>
        <v/>
      </c>
      <c r="D22">
        <f>Scorecard!D146</f>
        <v/>
      </c>
      <c r="E22">
        <f>Scorecard!E146</f>
        <v/>
      </c>
      <c r="F22">
        <f>Scorecard!F146</f>
        <v/>
      </c>
      <c r="G22">
        <f>Scorecard!G146</f>
        <v/>
      </c>
      <c r="H22">
        <f>Scorecard!H146</f>
        <v/>
      </c>
      <c r="I22">
        <f>Scorecard!I146</f>
        <v/>
      </c>
      <c r="J22">
        <f>Scorecard!J146</f>
        <v/>
      </c>
      <c r="K22">
        <f>Scorecard!K146</f>
        <v/>
      </c>
      <c r="L22">
        <f>Scorecard!L146</f>
        <v/>
      </c>
    </row>
    <row r="23">
      <c r="A23">
        <f>Scorecard!A147</f>
        <v/>
      </c>
      <c r="B23">
        <f>Scorecard!B147</f>
        <v/>
      </c>
      <c r="C23">
        <f>Scorecard!C147</f>
        <v/>
      </c>
      <c r="D23">
        <f>Scorecard!D147</f>
        <v/>
      </c>
      <c r="E23">
        <f>Scorecard!E147</f>
        <v/>
      </c>
      <c r="F23">
        <f>Scorecard!F147</f>
        <v/>
      </c>
      <c r="G23">
        <f>Scorecard!G147</f>
        <v/>
      </c>
      <c r="H23">
        <f>Scorecard!H147</f>
        <v/>
      </c>
      <c r="I23">
        <f>Scorecard!I147</f>
        <v/>
      </c>
      <c r="J23">
        <f>Scorecard!J147</f>
        <v/>
      </c>
      <c r="K23">
        <f>Scorecard!K147</f>
        <v/>
      </c>
      <c r="L23">
        <f>Scorecard!L147</f>
        <v/>
      </c>
    </row>
    <row r="24">
      <c r="A24">
        <f>Scorecard!A148</f>
        <v/>
      </c>
      <c r="B24">
        <f>Scorecard!B148</f>
        <v/>
      </c>
      <c r="C24">
        <f>Scorecard!C148</f>
        <v/>
      </c>
      <c r="D24">
        <f>Scorecard!D148</f>
        <v/>
      </c>
      <c r="E24">
        <f>Scorecard!E148</f>
        <v/>
      </c>
      <c r="F24">
        <f>Scorecard!F148</f>
        <v/>
      </c>
      <c r="G24">
        <f>Scorecard!G148</f>
        <v/>
      </c>
      <c r="H24">
        <f>Scorecard!H148</f>
        <v/>
      </c>
      <c r="I24">
        <f>Scorecard!I148</f>
        <v/>
      </c>
      <c r="J24">
        <f>Scorecard!J148</f>
        <v/>
      </c>
      <c r="K24">
        <f>Scorecard!K148</f>
        <v/>
      </c>
      <c r="L24">
        <f>Scorecard!L148</f>
        <v/>
      </c>
    </row>
    <row r="25">
      <c r="A25">
        <f>Scorecard!A149</f>
        <v/>
      </c>
      <c r="B25">
        <f>Scorecard!B149</f>
        <v/>
      </c>
      <c r="C25">
        <f>Scorecard!C149</f>
        <v/>
      </c>
      <c r="D25">
        <f>Scorecard!D149</f>
        <v/>
      </c>
      <c r="E25">
        <f>Scorecard!E149</f>
        <v/>
      </c>
      <c r="F25">
        <f>Scorecard!F149</f>
        <v/>
      </c>
      <c r="G25">
        <f>Scorecard!G149</f>
        <v/>
      </c>
      <c r="H25">
        <f>Scorecard!H149</f>
        <v/>
      </c>
      <c r="I25">
        <f>Scorecard!I149</f>
        <v/>
      </c>
      <c r="J25">
        <f>Scorecard!J149</f>
        <v/>
      </c>
      <c r="K25">
        <f>Scorecard!K149</f>
        <v/>
      </c>
      <c r="L25">
        <f>Scorecard!L149</f>
        <v/>
      </c>
    </row>
    <row r="26">
      <c r="A26">
        <f>Scorecard!A150</f>
        <v/>
      </c>
      <c r="B26">
        <f>Scorecard!B150</f>
        <v/>
      </c>
      <c r="C26">
        <f>Scorecard!C150</f>
        <v/>
      </c>
      <c r="D26">
        <f>Scorecard!D150</f>
        <v/>
      </c>
      <c r="E26">
        <f>Scorecard!E150</f>
        <v/>
      </c>
      <c r="F26">
        <f>Scorecard!F150</f>
        <v/>
      </c>
      <c r="G26">
        <f>Scorecard!G150</f>
        <v/>
      </c>
      <c r="H26">
        <f>Scorecard!H150</f>
        <v/>
      </c>
      <c r="I26">
        <f>Scorecard!I150</f>
        <v/>
      </c>
      <c r="J26">
        <f>Scorecard!J150</f>
        <v/>
      </c>
      <c r="K26">
        <f>Scorecard!K150</f>
        <v/>
      </c>
      <c r="L26">
        <f>Scorecard!L150</f>
        <v/>
      </c>
    </row>
    <row r="27">
      <c r="A27">
        <f>Scorecard!A151</f>
        <v/>
      </c>
      <c r="B27">
        <f>Scorecard!B151</f>
        <v/>
      </c>
      <c r="C27">
        <f>Scorecard!C151</f>
        <v/>
      </c>
      <c r="D27">
        <f>Scorecard!D151</f>
        <v/>
      </c>
      <c r="E27">
        <f>Scorecard!E151</f>
        <v/>
      </c>
      <c r="F27">
        <f>Scorecard!F151</f>
        <v/>
      </c>
      <c r="G27">
        <f>Scorecard!G151</f>
        <v/>
      </c>
      <c r="H27">
        <f>Scorecard!H151</f>
        <v/>
      </c>
      <c r="I27">
        <f>Scorecard!I151</f>
        <v/>
      </c>
      <c r="J27">
        <f>Scorecard!J151</f>
        <v/>
      </c>
      <c r="K27">
        <f>Scorecard!K151</f>
        <v/>
      </c>
      <c r="L27">
        <f>Scorecard!L151</f>
        <v/>
      </c>
    </row>
    <row r="29" ht="18" customHeight="1">
      <c r="A29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M2"/>
    <mergeCell ref="A1:M1"/>
    <mergeCell ref="A29:M29"/>
  </mergeCells>
  <hyperlinks>
    <hyperlink xmlns:r="http://schemas.openxmlformats.org/officeDocument/2006/relationships" ref="A29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42" customWidth="1" min="4" max="4"/>
    <col width="9" customWidth="1" min="5" max="5"/>
    <col width="26" customWidth="1" min="6" max="6"/>
    <col width="30" customWidth="1" min="7" max="7"/>
    <col width="9" customWidth="1" min="8" max="8"/>
    <col width="16" customWidth="1" min="9" max="9"/>
    <col width="18" customWidth="1" min="10" max="10"/>
    <col width="3" customWidth="1" min="11" max="11"/>
    <col width="11" customWidth="1" min="12" max="12"/>
    <col width="6" customWidth="1" min="13" max="13"/>
  </cols>
  <sheetData>
    <row r="1" ht="28" customHeight="1">
      <c r="A1" s="1" t="inlineStr">
        <is>
          <t>Foundational Completeness - Detail View</t>
        </is>
      </c>
    </row>
    <row r="2">
      <c r="A2" s="2" t="inlineStr">
        <is>
          <t>Live-linked view of Scorecard rows 153-175. Edit scores on 'Scorecard'; this sheet mirrors, it does not recompute.</t>
        </is>
      </c>
    </row>
    <row r="4">
      <c r="A4" s="7" t="inlineStr">
        <is>
          <t>Category</t>
        </is>
      </c>
      <c r="B4" s="7" t="inlineStr">
        <is>
          <t>Sub-audit</t>
        </is>
      </c>
      <c r="C4" s="7" t="inlineStr">
        <is>
          <t>Leaf ID</t>
        </is>
      </c>
      <c r="D4" s="7" t="inlineStr">
        <is>
          <t>Description</t>
        </is>
      </c>
      <c r="E4" s="7" t="inlineStr">
        <is>
          <t>Score (0-6)</t>
        </is>
      </c>
      <c r="F4" s="7" t="inlineStr">
        <is>
          <t>Evidence pointer</t>
        </is>
      </c>
      <c r="G4" s="7" t="inlineStr">
        <is>
          <t>Justification</t>
        </is>
      </c>
      <c r="H4" s="7" t="inlineStr">
        <is>
          <t>Weight</t>
        </is>
      </c>
      <c r="I4" s="7" t="inlineStr">
        <is>
          <t>Included?</t>
        </is>
      </c>
      <c r="J4" s="7" t="inlineStr">
        <is>
          <t>Row type</t>
        </is>
      </c>
      <c r="K4" s="7" t="inlineStr"/>
      <c r="L4" s="7" t="inlineStr">
        <is>
          <t>Rollup %</t>
        </is>
      </c>
      <c r="M4" s="7" t="inlineStr"/>
    </row>
    <row r="5">
      <c r="A5">
        <f>Scorecard!A153</f>
        <v/>
      </c>
      <c r="B5">
        <f>Scorecard!B153</f>
        <v/>
      </c>
      <c r="C5">
        <f>Scorecard!C153</f>
        <v/>
      </c>
      <c r="D5">
        <f>Scorecard!D153</f>
        <v/>
      </c>
      <c r="E5">
        <f>Scorecard!E153</f>
        <v/>
      </c>
      <c r="F5">
        <f>Scorecard!F153</f>
        <v/>
      </c>
      <c r="G5">
        <f>Scorecard!G153</f>
        <v/>
      </c>
      <c r="H5">
        <f>Scorecard!H153</f>
        <v/>
      </c>
      <c r="I5">
        <f>Scorecard!I153</f>
        <v/>
      </c>
      <c r="J5">
        <f>Scorecard!J153</f>
        <v/>
      </c>
      <c r="K5">
        <f>Scorecard!K153</f>
        <v/>
      </c>
      <c r="L5">
        <f>Scorecard!L153</f>
        <v/>
      </c>
    </row>
    <row r="6">
      <c r="A6">
        <f>Scorecard!A154</f>
        <v/>
      </c>
      <c r="B6">
        <f>Scorecard!B154</f>
        <v/>
      </c>
      <c r="C6">
        <f>Scorecard!C154</f>
        <v/>
      </c>
      <c r="D6">
        <f>Scorecard!D154</f>
        <v/>
      </c>
      <c r="E6">
        <f>Scorecard!E154</f>
        <v/>
      </c>
      <c r="F6">
        <f>Scorecard!F154</f>
        <v/>
      </c>
      <c r="G6">
        <f>Scorecard!G154</f>
        <v/>
      </c>
      <c r="H6">
        <f>Scorecard!H154</f>
        <v/>
      </c>
      <c r="I6">
        <f>Scorecard!I154</f>
        <v/>
      </c>
      <c r="J6">
        <f>Scorecard!J154</f>
        <v/>
      </c>
      <c r="K6">
        <f>Scorecard!K154</f>
        <v/>
      </c>
      <c r="L6">
        <f>Scorecard!L154</f>
        <v/>
      </c>
    </row>
    <row r="7">
      <c r="A7">
        <f>Scorecard!A155</f>
        <v/>
      </c>
      <c r="B7">
        <f>Scorecard!B155</f>
        <v/>
      </c>
      <c r="C7">
        <f>Scorecard!C155</f>
        <v/>
      </c>
      <c r="D7">
        <f>Scorecard!D155</f>
        <v/>
      </c>
      <c r="E7">
        <f>Scorecard!E155</f>
        <v/>
      </c>
      <c r="F7">
        <f>Scorecard!F155</f>
        <v/>
      </c>
      <c r="G7">
        <f>Scorecard!G155</f>
        <v/>
      </c>
      <c r="H7">
        <f>Scorecard!H155</f>
        <v/>
      </c>
      <c r="I7">
        <f>Scorecard!I155</f>
        <v/>
      </c>
      <c r="J7">
        <f>Scorecard!J155</f>
        <v/>
      </c>
      <c r="K7">
        <f>Scorecard!K155</f>
        <v/>
      </c>
      <c r="L7">
        <f>Scorecard!L155</f>
        <v/>
      </c>
    </row>
    <row r="8">
      <c r="A8">
        <f>Scorecard!A156</f>
        <v/>
      </c>
      <c r="B8">
        <f>Scorecard!B156</f>
        <v/>
      </c>
      <c r="C8">
        <f>Scorecard!C156</f>
        <v/>
      </c>
      <c r="D8">
        <f>Scorecard!D156</f>
        <v/>
      </c>
      <c r="E8">
        <f>Scorecard!E156</f>
        <v/>
      </c>
      <c r="F8">
        <f>Scorecard!F156</f>
        <v/>
      </c>
      <c r="G8">
        <f>Scorecard!G156</f>
        <v/>
      </c>
      <c r="H8">
        <f>Scorecard!H156</f>
        <v/>
      </c>
      <c r="I8">
        <f>Scorecard!I156</f>
        <v/>
      </c>
      <c r="J8">
        <f>Scorecard!J156</f>
        <v/>
      </c>
      <c r="K8">
        <f>Scorecard!K156</f>
        <v/>
      </c>
      <c r="L8">
        <f>Scorecard!L156</f>
        <v/>
      </c>
    </row>
    <row r="9">
      <c r="A9">
        <f>Scorecard!A157</f>
        <v/>
      </c>
      <c r="B9">
        <f>Scorecard!B157</f>
        <v/>
      </c>
      <c r="C9">
        <f>Scorecard!C157</f>
        <v/>
      </c>
      <c r="D9">
        <f>Scorecard!D157</f>
        <v/>
      </c>
      <c r="E9">
        <f>Scorecard!E157</f>
        <v/>
      </c>
      <c r="F9">
        <f>Scorecard!F157</f>
        <v/>
      </c>
      <c r="G9">
        <f>Scorecard!G157</f>
        <v/>
      </c>
      <c r="H9">
        <f>Scorecard!H157</f>
        <v/>
      </c>
      <c r="I9">
        <f>Scorecard!I157</f>
        <v/>
      </c>
      <c r="J9">
        <f>Scorecard!J157</f>
        <v/>
      </c>
      <c r="K9">
        <f>Scorecard!K157</f>
        <v/>
      </c>
      <c r="L9">
        <f>Scorecard!L157</f>
        <v/>
      </c>
    </row>
    <row r="10">
      <c r="A10">
        <f>Scorecard!A158</f>
        <v/>
      </c>
      <c r="B10">
        <f>Scorecard!B158</f>
        <v/>
      </c>
      <c r="C10">
        <f>Scorecard!C158</f>
        <v/>
      </c>
      <c r="D10">
        <f>Scorecard!D158</f>
        <v/>
      </c>
      <c r="E10">
        <f>Scorecard!E158</f>
        <v/>
      </c>
      <c r="F10">
        <f>Scorecard!F158</f>
        <v/>
      </c>
      <c r="G10">
        <f>Scorecard!G158</f>
        <v/>
      </c>
      <c r="H10">
        <f>Scorecard!H158</f>
        <v/>
      </c>
      <c r="I10">
        <f>Scorecard!I158</f>
        <v/>
      </c>
      <c r="J10">
        <f>Scorecard!J158</f>
        <v/>
      </c>
      <c r="K10">
        <f>Scorecard!K158</f>
        <v/>
      </c>
      <c r="L10">
        <f>Scorecard!L158</f>
        <v/>
      </c>
    </row>
    <row r="11">
      <c r="A11">
        <f>Scorecard!A159</f>
        <v/>
      </c>
      <c r="B11">
        <f>Scorecard!B159</f>
        <v/>
      </c>
      <c r="C11">
        <f>Scorecard!C159</f>
        <v/>
      </c>
      <c r="D11">
        <f>Scorecard!D159</f>
        <v/>
      </c>
      <c r="E11">
        <f>Scorecard!E159</f>
        <v/>
      </c>
      <c r="F11">
        <f>Scorecard!F159</f>
        <v/>
      </c>
      <c r="G11">
        <f>Scorecard!G159</f>
        <v/>
      </c>
      <c r="H11">
        <f>Scorecard!H159</f>
        <v/>
      </c>
      <c r="I11">
        <f>Scorecard!I159</f>
        <v/>
      </c>
      <c r="J11">
        <f>Scorecard!J159</f>
        <v/>
      </c>
      <c r="K11">
        <f>Scorecard!K159</f>
        <v/>
      </c>
      <c r="L11">
        <f>Scorecard!L159</f>
        <v/>
      </c>
    </row>
    <row r="12">
      <c r="A12">
        <f>Scorecard!A160</f>
        <v/>
      </c>
      <c r="B12">
        <f>Scorecard!B160</f>
        <v/>
      </c>
      <c r="C12">
        <f>Scorecard!C160</f>
        <v/>
      </c>
      <c r="D12">
        <f>Scorecard!D160</f>
        <v/>
      </c>
      <c r="E12">
        <f>Scorecard!E160</f>
        <v/>
      </c>
      <c r="F12">
        <f>Scorecard!F160</f>
        <v/>
      </c>
      <c r="G12">
        <f>Scorecard!G160</f>
        <v/>
      </c>
      <c r="H12">
        <f>Scorecard!H160</f>
        <v/>
      </c>
      <c r="I12">
        <f>Scorecard!I160</f>
        <v/>
      </c>
      <c r="J12">
        <f>Scorecard!J160</f>
        <v/>
      </c>
      <c r="K12">
        <f>Scorecard!K160</f>
        <v/>
      </c>
      <c r="L12">
        <f>Scorecard!L160</f>
        <v/>
      </c>
    </row>
    <row r="13">
      <c r="A13">
        <f>Scorecard!A161</f>
        <v/>
      </c>
      <c r="B13">
        <f>Scorecard!B161</f>
        <v/>
      </c>
      <c r="C13">
        <f>Scorecard!C161</f>
        <v/>
      </c>
      <c r="D13">
        <f>Scorecard!D161</f>
        <v/>
      </c>
      <c r="E13">
        <f>Scorecard!E161</f>
        <v/>
      </c>
      <c r="F13">
        <f>Scorecard!F161</f>
        <v/>
      </c>
      <c r="G13">
        <f>Scorecard!G161</f>
        <v/>
      </c>
      <c r="H13">
        <f>Scorecard!H161</f>
        <v/>
      </c>
      <c r="I13">
        <f>Scorecard!I161</f>
        <v/>
      </c>
      <c r="J13">
        <f>Scorecard!J161</f>
        <v/>
      </c>
      <c r="K13">
        <f>Scorecard!K161</f>
        <v/>
      </c>
      <c r="L13">
        <f>Scorecard!L161</f>
        <v/>
      </c>
    </row>
    <row r="14">
      <c r="A14">
        <f>Scorecard!A162</f>
        <v/>
      </c>
      <c r="B14">
        <f>Scorecard!B162</f>
        <v/>
      </c>
      <c r="C14">
        <f>Scorecard!C162</f>
        <v/>
      </c>
      <c r="D14">
        <f>Scorecard!D162</f>
        <v/>
      </c>
      <c r="E14">
        <f>Scorecard!E162</f>
        <v/>
      </c>
      <c r="F14">
        <f>Scorecard!F162</f>
        <v/>
      </c>
      <c r="G14">
        <f>Scorecard!G162</f>
        <v/>
      </c>
      <c r="H14">
        <f>Scorecard!H162</f>
        <v/>
      </c>
      <c r="I14">
        <f>Scorecard!I162</f>
        <v/>
      </c>
      <c r="J14">
        <f>Scorecard!J162</f>
        <v/>
      </c>
      <c r="K14">
        <f>Scorecard!K162</f>
        <v/>
      </c>
      <c r="L14">
        <f>Scorecard!L162</f>
        <v/>
      </c>
    </row>
    <row r="15">
      <c r="A15">
        <f>Scorecard!A163</f>
        <v/>
      </c>
      <c r="B15">
        <f>Scorecard!B163</f>
        <v/>
      </c>
      <c r="C15">
        <f>Scorecard!C163</f>
        <v/>
      </c>
      <c r="D15">
        <f>Scorecard!D163</f>
        <v/>
      </c>
      <c r="E15">
        <f>Scorecard!E163</f>
        <v/>
      </c>
      <c r="F15">
        <f>Scorecard!F163</f>
        <v/>
      </c>
      <c r="G15">
        <f>Scorecard!G163</f>
        <v/>
      </c>
      <c r="H15">
        <f>Scorecard!H163</f>
        <v/>
      </c>
      <c r="I15">
        <f>Scorecard!I163</f>
        <v/>
      </c>
      <c r="J15">
        <f>Scorecard!J163</f>
        <v/>
      </c>
      <c r="K15">
        <f>Scorecard!K163</f>
        <v/>
      </c>
      <c r="L15">
        <f>Scorecard!L163</f>
        <v/>
      </c>
    </row>
    <row r="16">
      <c r="A16">
        <f>Scorecard!A164</f>
        <v/>
      </c>
      <c r="B16">
        <f>Scorecard!B164</f>
        <v/>
      </c>
      <c r="C16">
        <f>Scorecard!C164</f>
        <v/>
      </c>
      <c r="D16">
        <f>Scorecard!D164</f>
        <v/>
      </c>
      <c r="E16">
        <f>Scorecard!E164</f>
        <v/>
      </c>
      <c r="F16">
        <f>Scorecard!F164</f>
        <v/>
      </c>
      <c r="G16">
        <f>Scorecard!G164</f>
        <v/>
      </c>
      <c r="H16">
        <f>Scorecard!H164</f>
        <v/>
      </c>
      <c r="I16">
        <f>Scorecard!I164</f>
        <v/>
      </c>
      <c r="J16">
        <f>Scorecard!J164</f>
        <v/>
      </c>
      <c r="K16">
        <f>Scorecard!K164</f>
        <v/>
      </c>
      <c r="L16">
        <f>Scorecard!L164</f>
        <v/>
      </c>
    </row>
    <row r="17">
      <c r="A17">
        <f>Scorecard!A165</f>
        <v/>
      </c>
      <c r="B17">
        <f>Scorecard!B165</f>
        <v/>
      </c>
      <c r="C17">
        <f>Scorecard!C165</f>
        <v/>
      </c>
      <c r="D17">
        <f>Scorecard!D165</f>
        <v/>
      </c>
      <c r="E17">
        <f>Scorecard!E165</f>
        <v/>
      </c>
      <c r="F17">
        <f>Scorecard!F165</f>
        <v/>
      </c>
      <c r="G17">
        <f>Scorecard!G165</f>
        <v/>
      </c>
      <c r="H17">
        <f>Scorecard!H165</f>
        <v/>
      </c>
      <c r="I17">
        <f>Scorecard!I165</f>
        <v/>
      </c>
      <c r="J17">
        <f>Scorecard!J165</f>
        <v/>
      </c>
      <c r="K17">
        <f>Scorecard!K165</f>
        <v/>
      </c>
      <c r="L17">
        <f>Scorecard!L165</f>
        <v/>
      </c>
    </row>
    <row r="18">
      <c r="A18">
        <f>Scorecard!A166</f>
        <v/>
      </c>
      <c r="B18">
        <f>Scorecard!B166</f>
        <v/>
      </c>
      <c r="C18">
        <f>Scorecard!C166</f>
        <v/>
      </c>
      <c r="D18">
        <f>Scorecard!D166</f>
        <v/>
      </c>
      <c r="E18">
        <f>Scorecard!E166</f>
        <v/>
      </c>
      <c r="F18">
        <f>Scorecard!F166</f>
        <v/>
      </c>
      <c r="G18">
        <f>Scorecard!G166</f>
        <v/>
      </c>
      <c r="H18">
        <f>Scorecard!H166</f>
        <v/>
      </c>
      <c r="I18">
        <f>Scorecard!I166</f>
        <v/>
      </c>
      <c r="J18">
        <f>Scorecard!J166</f>
        <v/>
      </c>
      <c r="K18">
        <f>Scorecard!K166</f>
        <v/>
      </c>
      <c r="L18">
        <f>Scorecard!L166</f>
        <v/>
      </c>
    </row>
    <row r="19">
      <c r="A19">
        <f>Scorecard!A167</f>
        <v/>
      </c>
      <c r="B19">
        <f>Scorecard!B167</f>
        <v/>
      </c>
      <c r="C19">
        <f>Scorecard!C167</f>
        <v/>
      </c>
      <c r="D19">
        <f>Scorecard!D167</f>
        <v/>
      </c>
      <c r="E19">
        <f>Scorecard!E167</f>
        <v/>
      </c>
      <c r="F19">
        <f>Scorecard!F167</f>
        <v/>
      </c>
      <c r="G19">
        <f>Scorecard!G167</f>
        <v/>
      </c>
      <c r="H19">
        <f>Scorecard!H167</f>
        <v/>
      </c>
      <c r="I19">
        <f>Scorecard!I167</f>
        <v/>
      </c>
      <c r="J19">
        <f>Scorecard!J167</f>
        <v/>
      </c>
      <c r="K19">
        <f>Scorecard!K167</f>
        <v/>
      </c>
      <c r="L19">
        <f>Scorecard!L167</f>
        <v/>
      </c>
    </row>
    <row r="20">
      <c r="A20">
        <f>Scorecard!A168</f>
        <v/>
      </c>
      <c r="B20">
        <f>Scorecard!B168</f>
        <v/>
      </c>
      <c r="C20">
        <f>Scorecard!C168</f>
        <v/>
      </c>
      <c r="D20">
        <f>Scorecard!D168</f>
        <v/>
      </c>
      <c r="E20">
        <f>Scorecard!E168</f>
        <v/>
      </c>
      <c r="F20">
        <f>Scorecard!F168</f>
        <v/>
      </c>
      <c r="G20">
        <f>Scorecard!G168</f>
        <v/>
      </c>
      <c r="H20">
        <f>Scorecard!H168</f>
        <v/>
      </c>
      <c r="I20">
        <f>Scorecard!I168</f>
        <v/>
      </c>
      <c r="J20">
        <f>Scorecard!J168</f>
        <v/>
      </c>
      <c r="K20">
        <f>Scorecard!K168</f>
        <v/>
      </c>
      <c r="L20">
        <f>Scorecard!L168</f>
        <v/>
      </c>
    </row>
    <row r="21">
      <c r="A21">
        <f>Scorecard!A169</f>
        <v/>
      </c>
      <c r="B21">
        <f>Scorecard!B169</f>
        <v/>
      </c>
      <c r="C21">
        <f>Scorecard!C169</f>
        <v/>
      </c>
      <c r="D21">
        <f>Scorecard!D169</f>
        <v/>
      </c>
      <c r="E21">
        <f>Scorecard!E169</f>
        <v/>
      </c>
      <c r="F21">
        <f>Scorecard!F169</f>
        <v/>
      </c>
      <c r="G21">
        <f>Scorecard!G169</f>
        <v/>
      </c>
      <c r="H21">
        <f>Scorecard!H169</f>
        <v/>
      </c>
      <c r="I21">
        <f>Scorecard!I169</f>
        <v/>
      </c>
      <c r="J21">
        <f>Scorecard!J169</f>
        <v/>
      </c>
      <c r="K21">
        <f>Scorecard!K169</f>
        <v/>
      </c>
      <c r="L21">
        <f>Scorecard!L169</f>
        <v/>
      </c>
    </row>
    <row r="22">
      <c r="A22">
        <f>Scorecard!A170</f>
        <v/>
      </c>
      <c r="B22">
        <f>Scorecard!B170</f>
        <v/>
      </c>
      <c r="C22">
        <f>Scorecard!C170</f>
        <v/>
      </c>
      <c r="D22">
        <f>Scorecard!D170</f>
        <v/>
      </c>
      <c r="E22">
        <f>Scorecard!E170</f>
        <v/>
      </c>
      <c r="F22">
        <f>Scorecard!F170</f>
        <v/>
      </c>
      <c r="G22">
        <f>Scorecard!G170</f>
        <v/>
      </c>
      <c r="H22">
        <f>Scorecard!H170</f>
        <v/>
      </c>
      <c r="I22">
        <f>Scorecard!I170</f>
        <v/>
      </c>
      <c r="J22">
        <f>Scorecard!J170</f>
        <v/>
      </c>
      <c r="K22">
        <f>Scorecard!K170</f>
        <v/>
      </c>
      <c r="L22">
        <f>Scorecard!L170</f>
        <v/>
      </c>
    </row>
    <row r="23">
      <c r="A23">
        <f>Scorecard!A171</f>
        <v/>
      </c>
      <c r="B23">
        <f>Scorecard!B171</f>
        <v/>
      </c>
      <c r="C23">
        <f>Scorecard!C171</f>
        <v/>
      </c>
      <c r="D23">
        <f>Scorecard!D171</f>
        <v/>
      </c>
      <c r="E23">
        <f>Scorecard!E171</f>
        <v/>
      </c>
      <c r="F23">
        <f>Scorecard!F171</f>
        <v/>
      </c>
      <c r="G23">
        <f>Scorecard!G171</f>
        <v/>
      </c>
      <c r="H23">
        <f>Scorecard!H171</f>
        <v/>
      </c>
      <c r="I23">
        <f>Scorecard!I171</f>
        <v/>
      </c>
      <c r="J23">
        <f>Scorecard!J171</f>
        <v/>
      </c>
      <c r="K23">
        <f>Scorecard!K171</f>
        <v/>
      </c>
      <c r="L23">
        <f>Scorecard!L171</f>
        <v/>
      </c>
    </row>
    <row r="24">
      <c r="A24">
        <f>Scorecard!A172</f>
        <v/>
      </c>
      <c r="B24">
        <f>Scorecard!B172</f>
        <v/>
      </c>
      <c r="C24">
        <f>Scorecard!C172</f>
        <v/>
      </c>
      <c r="D24">
        <f>Scorecard!D172</f>
        <v/>
      </c>
      <c r="E24">
        <f>Scorecard!E172</f>
        <v/>
      </c>
      <c r="F24">
        <f>Scorecard!F172</f>
        <v/>
      </c>
      <c r="G24">
        <f>Scorecard!G172</f>
        <v/>
      </c>
      <c r="H24">
        <f>Scorecard!H172</f>
        <v/>
      </c>
      <c r="I24">
        <f>Scorecard!I172</f>
        <v/>
      </c>
      <c r="J24">
        <f>Scorecard!J172</f>
        <v/>
      </c>
      <c r="K24">
        <f>Scorecard!K172</f>
        <v/>
      </c>
      <c r="L24">
        <f>Scorecard!L172</f>
        <v/>
      </c>
    </row>
    <row r="25">
      <c r="A25">
        <f>Scorecard!A173</f>
        <v/>
      </c>
      <c r="B25">
        <f>Scorecard!B173</f>
        <v/>
      </c>
      <c r="C25">
        <f>Scorecard!C173</f>
        <v/>
      </c>
      <c r="D25">
        <f>Scorecard!D173</f>
        <v/>
      </c>
      <c r="E25">
        <f>Scorecard!E173</f>
        <v/>
      </c>
      <c r="F25">
        <f>Scorecard!F173</f>
        <v/>
      </c>
      <c r="G25">
        <f>Scorecard!G173</f>
        <v/>
      </c>
      <c r="H25">
        <f>Scorecard!H173</f>
        <v/>
      </c>
      <c r="I25">
        <f>Scorecard!I173</f>
        <v/>
      </c>
      <c r="J25">
        <f>Scorecard!J173</f>
        <v/>
      </c>
      <c r="K25">
        <f>Scorecard!K173</f>
        <v/>
      </c>
      <c r="L25">
        <f>Scorecard!L173</f>
        <v/>
      </c>
    </row>
    <row r="26">
      <c r="A26">
        <f>Scorecard!A174</f>
        <v/>
      </c>
      <c r="B26">
        <f>Scorecard!B174</f>
        <v/>
      </c>
      <c r="C26">
        <f>Scorecard!C174</f>
        <v/>
      </c>
      <c r="D26">
        <f>Scorecard!D174</f>
        <v/>
      </c>
      <c r="E26">
        <f>Scorecard!E174</f>
        <v/>
      </c>
      <c r="F26">
        <f>Scorecard!F174</f>
        <v/>
      </c>
      <c r="G26">
        <f>Scorecard!G174</f>
        <v/>
      </c>
      <c r="H26">
        <f>Scorecard!H174</f>
        <v/>
      </c>
      <c r="I26">
        <f>Scorecard!I174</f>
        <v/>
      </c>
      <c r="J26">
        <f>Scorecard!J174</f>
        <v/>
      </c>
      <c r="K26">
        <f>Scorecard!K174</f>
        <v/>
      </c>
      <c r="L26">
        <f>Scorecard!L174</f>
        <v/>
      </c>
    </row>
    <row r="27">
      <c r="A27">
        <f>Scorecard!A175</f>
        <v/>
      </c>
      <c r="B27">
        <f>Scorecard!B175</f>
        <v/>
      </c>
      <c r="C27">
        <f>Scorecard!C175</f>
        <v/>
      </c>
      <c r="D27">
        <f>Scorecard!D175</f>
        <v/>
      </c>
      <c r="E27">
        <f>Scorecard!E175</f>
        <v/>
      </c>
      <c r="F27">
        <f>Scorecard!F175</f>
        <v/>
      </c>
      <c r="G27">
        <f>Scorecard!G175</f>
        <v/>
      </c>
      <c r="H27">
        <f>Scorecard!H175</f>
        <v/>
      </c>
      <c r="I27">
        <f>Scorecard!I175</f>
        <v/>
      </c>
      <c r="J27">
        <f>Scorecard!J175</f>
        <v/>
      </c>
      <c r="K27">
        <f>Scorecard!K175</f>
        <v/>
      </c>
      <c r="L27">
        <f>Scorecard!L175</f>
        <v/>
      </c>
    </row>
    <row r="29" ht="18" customHeight="1">
      <c r="A29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M2"/>
    <mergeCell ref="A1:M1"/>
    <mergeCell ref="A29:M29"/>
  </mergeCells>
  <hyperlinks>
    <hyperlink xmlns:r="http://schemas.openxmlformats.org/officeDocument/2006/relationships" ref="A29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42" customWidth="1" min="4" max="4"/>
    <col width="9" customWidth="1" min="5" max="5"/>
    <col width="26" customWidth="1" min="6" max="6"/>
    <col width="30" customWidth="1" min="7" max="7"/>
    <col width="9" customWidth="1" min="8" max="8"/>
    <col width="16" customWidth="1" min="9" max="9"/>
    <col width="18" customWidth="1" min="10" max="10"/>
    <col width="3" customWidth="1" min="11" max="11"/>
    <col width="11" customWidth="1" min="12" max="12"/>
    <col width="6" customWidth="1" min="13" max="13"/>
  </cols>
  <sheetData>
    <row r="1" ht="28" customHeight="1">
      <c r="A1" s="1" t="inlineStr">
        <is>
          <t>Search Presence - Detail View</t>
        </is>
      </c>
    </row>
    <row r="2">
      <c r="A2" s="2" t="inlineStr">
        <is>
          <t>Live-linked view of Scorecard rows 177-199. Edit scores on 'Scorecard'; this sheet mirrors, it does not recompute.</t>
        </is>
      </c>
    </row>
    <row r="4">
      <c r="A4" s="7" t="inlineStr">
        <is>
          <t>Category</t>
        </is>
      </c>
      <c r="B4" s="7" t="inlineStr">
        <is>
          <t>Sub-audit</t>
        </is>
      </c>
      <c r="C4" s="7" t="inlineStr">
        <is>
          <t>Leaf ID</t>
        </is>
      </c>
      <c r="D4" s="7" t="inlineStr">
        <is>
          <t>Description</t>
        </is>
      </c>
      <c r="E4" s="7" t="inlineStr">
        <is>
          <t>Score (0-6)</t>
        </is>
      </c>
      <c r="F4" s="7" t="inlineStr">
        <is>
          <t>Evidence pointer</t>
        </is>
      </c>
      <c r="G4" s="7" t="inlineStr">
        <is>
          <t>Justification</t>
        </is>
      </c>
      <c r="H4" s="7" t="inlineStr">
        <is>
          <t>Weight</t>
        </is>
      </c>
      <c r="I4" s="7" t="inlineStr">
        <is>
          <t>Included?</t>
        </is>
      </c>
      <c r="J4" s="7" t="inlineStr">
        <is>
          <t>Row type</t>
        </is>
      </c>
      <c r="K4" s="7" t="inlineStr"/>
      <c r="L4" s="7" t="inlineStr">
        <is>
          <t>Rollup %</t>
        </is>
      </c>
      <c r="M4" s="7" t="inlineStr"/>
    </row>
    <row r="5">
      <c r="A5">
        <f>Scorecard!A177</f>
        <v/>
      </c>
      <c r="B5">
        <f>Scorecard!B177</f>
        <v/>
      </c>
      <c r="C5">
        <f>Scorecard!C177</f>
        <v/>
      </c>
      <c r="D5">
        <f>Scorecard!D177</f>
        <v/>
      </c>
      <c r="E5">
        <f>Scorecard!E177</f>
        <v/>
      </c>
      <c r="F5">
        <f>Scorecard!F177</f>
        <v/>
      </c>
      <c r="G5">
        <f>Scorecard!G177</f>
        <v/>
      </c>
      <c r="H5">
        <f>Scorecard!H177</f>
        <v/>
      </c>
      <c r="I5">
        <f>Scorecard!I177</f>
        <v/>
      </c>
      <c r="J5">
        <f>Scorecard!J177</f>
        <v/>
      </c>
      <c r="K5">
        <f>Scorecard!K177</f>
        <v/>
      </c>
      <c r="L5">
        <f>Scorecard!L177</f>
        <v/>
      </c>
    </row>
    <row r="6">
      <c r="A6">
        <f>Scorecard!A178</f>
        <v/>
      </c>
      <c r="B6">
        <f>Scorecard!B178</f>
        <v/>
      </c>
      <c r="C6">
        <f>Scorecard!C178</f>
        <v/>
      </c>
      <c r="D6">
        <f>Scorecard!D178</f>
        <v/>
      </c>
      <c r="E6">
        <f>Scorecard!E178</f>
        <v/>
      </c>
      <c r="F6">
        <f>Scorecard!F178</f>
        <v/>
      </c>
      <c r="G6">
        <f>Scorecard!G178</f>
        <v/>
      </c>
      <c r="H6">
        <f>Scorecard!H178</f>
        <v/>
      </c>
      <c r="I6">
        <f>Scorecard!I178</f>
        <v/>
      </c>
      <c r="J6">
        <f>Scorecard!J178</f>
        <v/>
      </c>
      <c r="K6">
        <f>Scorecard!K178</f>
        <v/>
      </c>
      <c r="L6">
        <f>Scorecard!L178</f>
        <v/>
      </c>
    </row>
    <row r="7">
      <c r="A7">
        <f>Scorecard!A179</f>
        <v/>
      </c>
      <c r="B7">
        <f>Scorecard!B179</f>
        <v/>
      </c>
      <c r="C7">
        <f>Scorecard!C179</f>
        <v/>
      </c>
      <c r="D7">
        <f>Scorecard!D179</f>
        <v/>
      </c>
      <c r="E7">
        <f>Scorecard!E179</f>
        <v/>
      </c>
      <c r="F7">
        <f>Scorecard!F179</f>
        <v/>
      </c>
      <c r="G7">
        <f>Scorecard!G179</f>
        <v/>
      </c>
      <c r="H7">
        <f>Scorecard!H179</f>
        <v/>
      </c>
      <c r="I7">
        <f>Scorecard!I179</f>
        <v/>
      </c>
      <c r="J7">
        <f>Scorecard!J179</f>
        <v/>
      </c>
      <c r="K7">
        <f>Scorecard!K179</f>
        <v/>
      </c>
      <c r="L7">
        <f>Scorecard!L179</f>
        <v/>
      </c>
    </row>
    <row r="8">
      <c r="A8">
        <f>Scorecard!A180</f>
        <v/>
      </c>
      <c r="B8">
        <f>Scorecard!B180</f>
        <v/>
      </c>
      <c r="C8">
        <f>Scorecard!C180</f>
        <v/>
      </c>
      <c r="D8">
        <f>Scorecard!D180</f>
        <v/>
      </c>
      <c r="E8">
        <f>Scorecard!E180</f>
        <v/>
      </c>
      <c r="F8">
        <f>Scorecard!F180</f>
        <v/>
      </c>
      <c r="G8">
        <f>Scorecard!G180</f>
        <v/>
      </c>
      <c r="H8">
        <f>Scorecard!H180</f>
        <v/>
      </c>
      <c r="I8">
        <f>Scorecard!I180</f>
        <v/>
      </c>
      <c r="J8">
        <f>Scorecard!J180</f>
        <v/>
      </c>
      <c r="K8">
        <f>Scorecard!K180</f>
        <v/>
      </c>
      <c r="L8">
        <f>Scorecard!L180</f>
        <v/>
      </c>
    </row>
    <row r="9">
      <c r="A9">
        <f>Scorecard!A181</f>
        <v/>
      </c>
      <c r="B9">
        <f>Scorecard!B181</f>
        <v/>
      </c>
      <c r="C9">
        <f>Scorecard!C181</f>
        <v/>
      </c>
      <c r="D9">
        <f>Scorecard!D181</f>
        <v/>
      </c>
      <c r="E9">
        <f>Scorecard!E181</f>
        <v/>
      </c>
      <c r="F9">
        <f>Scorecard!F181</f>
        <v/>
      </c>
      <c r="G9">
        <f>Scorecard!G181</f>
        <v/>
      </c>
      <c r="H9">
        <f>Scorecard!H181</f>
        <v/>
      </c>
      <c r="I9">
        <f>Scorecard!I181</f>
        <v/>
      </c>
      <c r="J9">
        <f>Scorecard!J181</f>
        <v/>
      </c>
      <c r="K9">
        <f>Scorecard!K181</f>
        <v/>
      </c>
      <c r="L9">
        <f>Scorecard!L181</f>
        <v/>
      </c>
    </row>
    <row r="10">
      <c r="A10">
        <f>Scorecard!A182</f>
        <v/>
      </c>
      <c r="B10">
        <f>Scorecard!B182</f>
        <v/>
      </c>
      <c r="C10">
        <f>Scorecard!C182</f>
        <v/>
      </c>
      <c r="D10">
        <f>Scorecard!D182</f>
        <v/>
      </c>
      <c r="E10">
        <f>Scorecard!E182</f>
        <v/>
      </c>
      <c r="F10">
        <f>Scorecard!F182</f>
        <v/>
      </c>
      <c r="G10">
        <f>Scorecard!G182</f>
        <v/>
      </c>
      <c r="H10">
        <f>Scorecard!H182</f>
        <v/>
      </c>
      <c r="I10">
        <f>Scorecard!I182</f>
        <v/>
      </c>
      <c r="J10">
        <f>Scorecard!J182</f>
        <v/>
      </c>
      <c r="K10">
        <f>Scorecard!K182</f>
        <v/>
      </c>
      <c r="L10">
        <f>Scorecard!L182</f>
        <v/>
      </c>
    </row>
    <row r="11">
      <c r="A11">
        <f>Scorecard!A183</f>
        <v/>
      </c>
      <c r="B11">
        <f>Scorecard!B183</f>
        <v/>
      </c>
      <c r="C11">
        <f>Scorecard!C183</f>
        <v/>
      </c>
      <c r="D11">
        <f>Scorecard!D183</f>
        <v/>
      </c>
      <c r="E11">
        <f>Scorecard!E183</f>
        <v/>
      </c>
      <c r="F11">
        <f>Scorecard!F183</f>
        <v/>
      </c>
      <c r="G11">
        <f>Scorecard!G183</f>
        <v/>
      </c>
      <c r="H11">
        <f>Scorecard!H183</f>
        <v/>
      </c>
      <c r="I11">
        <f>Scorecard!I183</f>
        <v/>
      </c>
      <c r="J11">
        <f>Scorecard!J183</f>
        <v/>
      </c>
      <c r="K11">
        <f>Scorecard!K183</f>
        <v/>
      </c>
      <c r="L11">
        <f>Scorecard!L183</f>
        <v/>
      </c>
    </row>
    <row r="12">
      <c r="A12">
        <f>Scorecard!A184</f>
        <v/>
      </c>
      <c r="B12">
        <f>Scorecard!B184</f>
        <v/>
      </c>
      <c r="C12">
        <f>Scorecard!C184</f>
        <v/>
      </c>
      <c r="D12">
        <f>Scorecard!D184</f>
        <v/>
      </c>
      <c r="E12">
        <f>Scorecard!E184</f>
        <v/>
      </c>
      <c r="F12">
        <f>Scorecard!F184</f>
        <v/>
      </c>
      <c r="G12">
        <f>Scorecard!G184</f>
        <v/>
      </c>
      <c r="H12">
        <f>Scorecard!H184</f>
        <v/>
      </c>
      <c r="I12">
        <f>Scorecard!I184</f>
        <v/>
      </c>
      <c r="J12">
        <f>Scorecard!J184</f>
        <v/>
      </c>
      <c r="K12">
        <f>Scorecard!K184</f>
        <v/>
      </c>
      <c r="L12">
        <f>Scorecard!L184</f>
        <v/>
      </c>
    </row>
    <row r="13">
      <c r="A13">
        <f>Scorecard!A185</f>
        <v/>
      </c>
      <c r="B13">
        <f>Scorecard!B185</f>
        <v/>
      </c>
      <c r="C13">
        <f>Scorecard!C185</f>
        <v/>
      </c>
      <c r="D13">
        <f>Scorecard!D185</f>
        <v/>
      </c>
      <c r="E13">
        <f>Scorecard!E185</f>
        <v/>
      </c>
      <c r="F13">
        <f>Scorecard!F185</f>
        <v/>
      </c>
      <c r="G13">
        <f>Scorecard!G185</f>
        <v/>
      </c>
      <c r="H13">
        <f>Scorecard!H185</f>
        <v/>
      </c>
      <c r="I13">
        <f>Scorecard!I185</f>
        <v/>
      </c>
      <c r="J13">
        <f>Scorecard!J185</f>
        <v/>
      </c>
      <c r="K13">
        <f>Scorecard!K185</f>
        <v/>
      </c>
      <c r="L13">
        <f>Scorecard!L185</f>
        <v/>
      </c>
    </row>
    <row r="14">
      <c r="A14">
        <f>Scorecard!A186</f>
        <v/>
      </c>
      <c r="B14">
        <f>Scorecard!B186</f>
        <v/>
      </c>
      <c r="C14">
        <f>Scorecard!C186</f>
        <v/>
      </c>
      <c r="D14">
        <f>Scorecard!D186</f>
        <v/>
      </c>
      <c r="E14">
        <f>Scorecard!E186</f>
        <v/>
      </c>
      <c r="F14">
        <f>Scorecard!F186</f>
        <v/>
      </c>
      <c r="G14">
        <f>Scorecard!G186</f>
        <v/>
      </c>
      <c r="H14">
        <f>Scorecard!H186</f>
        <v/>
      </c>
      <c r="I14">
        <f>Scorecard!I186</f>
        <v/>
      </c>
      <c r="J14">
        <f>Scorecard!J186</f>
        <v/>
      </c>
      <c r="K14">
        <f>Scorecard!K186</f>
        <v/>
      </c>
      <c r="L14">
        <f>Scorecard!L186</f>
        <v/>
      </c>
    </row>
    <row r="15">
      <c r="A15">
        <f>Scorecard!A187</f>
        <v/>
      </c>
      <c r="B15">
        <f>Scorecard!B187</f>
        <v/>
      </c>
      <c r="C15">
        <f>Scorecard!C187</f>
        <v/>
      </c>
      <c r="D15">
        <f>Scorecard!D187</f>
        <v/>
      </c>
      <c r="E15">
        <f>Scorecard!E187</f>
        <v/>
      </c>
      <c r="F15">
        <f>Scorecard!F187</f>
        <v/>
      </c>
      <c r="G15">
        <f>Scorecard!G187</f>
        <v/>
      </c>
      <c r="H15">
        <f>Scorecard!H187</f>
        <v/>
      </c>
      <c r="I15">
        <f>Scorecard!I187</f>
        <v/>
      </c>
      <c r="J15">
        <f>Scorecard!J187</f>
        <v/>
      </c>
      <c r="K15">
        <f>Scorecard!K187</f>
        <v/>
      </c>
      <c r="L15">
        <f>Scorecard!L187</f>
        <v/>
      </c>
    </row>
    <row r="16">
      <c r="A16">
        <f>Scorecard!A188</f>
        <v/>
      </c>
      <c r="B16">
        <f>Scorecard!B188</f>
        <v/>
      </c>
      <c r="C16">
        <f>Scorecard!C188</f>
        <v/>
      </c>
      <c r="D16">
        <f>Scorecard!D188</f>
        <v/>
      </c>
      <c r="E16">
        <f>Scorecard!E188</f>
        <v/>
      </c>
      <c r="F16">
        <f>Scorecard!F188</f>
        <v/>
      </c>
      <c r="G16">
        <f>Scorecard!G188</f>
        <v/>
      </c>
      <c r="H16">
        <f>Scorecard!H188</f>
        <v/>
      </c>
      <c r="I16">
        <f>Scorecard!I188</f>
        <v/>
      </c>
      <c r="J16">
        <f>Scorecard!J188</f>
        <v/>
      </c>
      <c r="K16">
        <f>Scorecard!K188</f>
        <v/>
      </c>
      <c r="L16">
        <f>Scorecard!L188</f>
        <v/>
      </c>
    </row>
    <row r="17">
      <c r="A17">
        <f>Scorecard!A189</f>
        <v/>
      </c>
      <c r="B17">
        <f>Scorecard!B189</f>
        <v/>
      </c>
      <c r="C17">
        <f>Scorecard!C189</f>
        <v/>
      </c>
      <c r="D17">
        <f>Scorecard!D189</f>
        <v/>
      </c>
      <c r="E17">
        <f>Scorecard!E189</f>
        <v/>
      </c>
      <c r="F17">
        <f>Scorecard!F189</f>
        <v/>
      </c>
      <c r="G17">
        <f>Scorecard!G189</f>
        <v/>
      </c>
      <c r="H17">
        <f>Scorecard!H189</f>
        <v/>
      </c>
      <c r="I17">
        <f>Scorecard!I189</f>
        <v/>
      </c>
      <c r="J17">
        <f>Scorecard!J189</f>
        <v/>
      </c>
      <c r="K17">
        <f>Scorecard!K189</f>
        <v/>
      </c>
      <c r="L17">
        <f>Scorecard!L189</f>
        <v/>
      </c>
    </row>
    <row r="18">
      <c r="A18">
        <f>Scorecard!A190</f>
        <v/>
      </c>
      <c r="B18">
        <f>Scorecard!B190</f>
        <v/>
      </c>
      <c r="C18">
        <f>Scorecard!C190</f>
        <v/>
      </c>
      <c r="D18">
        <f>Scorecard!D190</f>
        <v/>
      </c>
      <c r="E18">
        <f>Scorecard!E190</f>
        <v/>
      </c>
      <c r="F18">
        <f>Scorecard!F190</f>
        <v/>
      </c>
      <c r="G18">
        <f>Scorecard!G190</f>
        <v/>
      </c>
      <c r="H18">
        <f>Scorecard!H190</f>
        <v/>
      </c>
      <c r="I18">
        <f>Scorecard!I190</f>
        <v/>
      </c>
      <c r="J18">
        <f>Scorecard!J190</f>
        <v/>
      </c>
      <c r="K18">
        <f>Scorecard!K190</f>
        <v/>
      </c>
      <c r="L18">
        <f>Scorecard!L190</f>
        <v/>
      </c>
    </row>
    <row r="19">
      <c r="A19">
        <f>Scorecard!A191</f>
        <v/>
      </c>
      <c r="B19">
        <f>Scorecard!B191</f>
        <v/>
      </c>
      <c r="C19">
        <f>Scorecard!C191</f>
        <v/>
      </c>
      <c r="D19">
        <f>Scorecard!D191</f>
        <v/>
      </c>
      <c r="E19">
        <f>Scorecard!E191</f>
        <v/>
      </c>
      <c r="F19">
        <f>Scorecard!F191</f>
        <v/>
      </c>
      <c r="G19">
        <f>Scorecard!G191</f>
        <v/>
      </c>
      <c r="H19">
        <f>Scorecard!H191</f>
        <v/>
      </c>
      <c r="I19">
        <f>Scorecard!I191</f>
        <v/>
      </c>
      <c r="J19">
        <f>Scorecard!J191</f>
        <v/>
      </c>
      <c r="K19">
        <f>Scorecard!K191</f>
        <v/>
      </c>
      <c r="L19">
        <f>Scorecard!L191</f>
        <v/>
      </c>
    </row>
    <row r="20">
      <c r="A20">
        <f>Scorecard!A192</f>
        <v/>
      </c>
      <c r="B20">
        <f>Scorecard!B192</f>
        <v/>
      </c>
      <c r="C20">
        <f>Scorecard!C192</f>
        <v/>
      </c>
      <c r="D20">
        <f>Scorecard!D192</f>
        <v/>
      </c>
      <c r="E20">
        <f>Scorecard!E192</f>
        <v/>
      </c>
      <c r="F20">
        <f>Scorecard!F192</f>
        <v/>
      </c>
      <c r="G20">
        <f>Scorecard!G192</f>
        <v/>
      </c>
      <c r="H20">
        <f>Scorecard!H192</f>
        <v/>
      </c>
      <c r="I20">
        <f>Scorecard!I192</f>
        <v/>
      </c>
      <c r="J20">
        <f>Scorecard!J192</f>
        <v/>
      </c>
      <c r="K20">
        <f>Scorecard!K192</f>
        <v/>
      </c>
      <c r="L20">
        <f>Scorecard!L192</f>
        <v/>
      </c>
    </row>
    <row r="21">
      <c r="A21">
        <f>Scorecard!A193</f>
        <v/>
      </c>
      <c r="B21">
        <f>Scorecard!B193</f>
        <v/>
      </c>
      <c r="C21">
        <f>Scorecard!C193</f>
        <v/>
      </c>
      <c r="D21">
        <f>Scorecard!D193</f>
        <v/>
      </c>
      <c r="E21">
        <f>Scorecard!E193</f>
        <v/>
      </c>
      <c r="F21">
        <f>Scorecard!F193</f>
        <v/>
      </c>
      <c r="G21">
        <f>Scorecard!G193</f>
        <v/>
      </c>
      <c r="H21">
        <f>Scorecard!H193</f>
        <v/>
      </c>
      <c r="I21">
        <f>Scorecard!I193</f>
        <v/>
      </c>
      <c r="J21">
        <f>Scorecard!J193</f>
        <v/>
      </c>
      <c r="K21">
        <f>Scorecard!K193</f>
        <v/>
      </c>
      <c r="L21">
        <f>Scorecard!L193</f>
        <v/>
      </c>
    </row>
    <row r="22">
      <c r="A22">
        <f>Scorecard!A194</f>
        <v/>
      </c>
      <c r="B22">
        <f>Scorecard!B194</f>
        <v/>
      </c>
      <c r="C22">
        <f>Scorecard!C194</f>
        <v/>
      </c>
      <c r="D22">
        <f>Scorecard!D194</f>
        <v/>
      </c>
      <c r="E22">
        <f>Scorecard!E194</f>
        <v/>
      </c>
      <c r="F22">
        <f>Scorecard!F194</f>
        <v/>
      </c>
      <c r="G22">
        <f>Scorecard!G194</f>
        <v/>
      </c>
      <c r="H22">
        <f>Scorecard!H194</f>
        <v/>
      </c>
      <c r="I22">
        <f>Scorecard!I194</f>
        <v/>
      </c>
      <c r="J22">
        <f>Scorecard!J194</f>
        <v/>
      </c>
      <c r="K22">
        <f>Scorecard!K194</f>
        <v/>
      </c>
      <c r="L22">
        <f>Scorecard!L194</f>
        <v/>
      </c>
    </row>
    <row r="23">
      <c r="A23">
        <f>Scorecard!A195</f>
        <v/>
      </c>
      <c r="B23">
        <f>Scorecard!B195</f>
        <v/>
      </c>
      <c r="C23">
        <f>Scorecard!C195</f>
        <v/>
      </c>
      <c r="D23">
        <f>Scorecard!D195</f>
        <v/>
      </c>
      <c r="E23">
        <f>Scorecard!E195</f>
        <v/>
      </c>
      <c r="F23">
        <f>Scorecard!F195</f>
        <v/>
      </c>
      <c r="G23">
        <f>Scorecard!G195</f>
        <v/>
      </c>
      <c r="H23">
        <f>Scorecard!H195</f>
        <v/>
      </c>
      <c r="I23">
        <f>Scorecard!I195</f>
        <v/>
      </c>
      <c r="J23">
        <f>Scorecard!J195</f>
        <v/>
      </c>
      <c r="K23">
        <f>Scorecard!K195</f>
        <v/>
      </c>
      <c r="L23">
        <f>Scorecard!L195</f>
        <v/>
      </c>
    </row>
    <row r="24">
      <c r="A24">
        <f>Scorecard!A196</f>
        <v/>
      </c>
      <c r="B24">
        <f>Scorecard!B196</f>
        <v/>
      </c>
      <c r="C24">
        <f>Scorecard!C196</f>
        <v/>
      </c>
      <c r="D24">
        <f>Scorecard!D196</f>
        <v/>
      </c>
      <c r="E24">
        <f>Scorecard!E196</f>
        <v/>
      </c>
      <c r="F24">
        <f>Scorecard!F196</f>
        <v/>
      </c>
      <c r="G24">
        <f>Scorecard!G196</f>
        <v/>
      </c>
      <c r="H24">
        <f>Scorecard!H196</f>
        <v/>
      </c>
      <c r="I24">
        <f>Scorecard!I196</f>
        <v/>
      </c>
      <c r="J24">
        <f>Scorecard!J196</f>
        <v/>
      </c>
      <c r="K24">
        <f>Scorecard!K196</f>
        <v/>
      </c>
      <c r="L24">
        <f>Scorecard!L196</f>
        <v/>
      </c>
    </row>
    <row r="25">
      <c r="A25">
        <f>Scorecard!A197</f>
        <v/>
      </c>
      <c r="B25">
        <f>Scorecard!B197</f>
        <v/>
      </c>
      <c r="C25">
        <f>Scorecard!C197</f>
        <v/>
      </c>
      <c r="D25">
        <f>Scorecard!D197</f>
        <v/>
      </c>
      <c r="E25">
        <f>Scorecard!E197</f>
        <v/>
      </c>
      <c r="F25">
        <f>Scorecard!F197</f>
        <v/>
      </c>
      <c r="G25">
        <f>Scorecard!G197</f>
        <v/>
      </c>
      <c r="H25">
        <f>Scorecard!H197</f>
        <v/>
      </c>
      <c r="I25">
        <f>Scorecard!I197</f>
        <v/>
      </c>
      <c r="J25">
        <f>Scorecard!J197</f>
        <v/>
      </c>
      <c r="K25">
        <f>Scorecard!K197</f>
        <v/>
      </c>
      <c r="L25">
        <f>Scorecard!L197</f>
        <v/>
      </c>
    </row>
    <row r="26">
      <c r="A26">
        <f>Scorecard!A198</f>
        <v/>
      </c>
      <c r="B26">
        <f>Scorecard!B198</f>
        <v/>
      </c>
      <c r="C26">
        <f>Scorecard!C198</f>
        <v/>
      </c>
      <c r="D26">
        <f>Scorecard!D198</f>
        <v/>
      </c>
      <c r="E26">
        <f>Scorecard!E198</f>
        <v/>
      </c>
      <c r="F26">
        <f>Scorecard!F198</f>
        <v/>
      </c>
      <c r="G26">
        <f>Scorecard!G198</f>
        <v/>
      </c>
      <c r="H26">
        <f>Scorecard!H198</f>
        <v/>
      </c>
      <c r="I26">
        <f>Scorecard!I198</f>
        <v/>
      </c>
      <c r="J26">
        <f>Scorecard!J198</f>
        <v/>
      </c>
      <c r="K26">
        <f>Scorecard!K198</f>
        <v/>
      </c>
      <c r="L26">
        <f>Scorecard!L198</f>
        <v/>
      </c>
    </row>
    <row r="27">
      <c r="A27">
        <f>Scorecard!A199</f>
        <v/>
      </c>
      <c r="B27">
        <f>Scorecard!B199</f>
        <v/>
      </c>
      <c r="C27">
        <f>Scorecard!C199</f>
        <v/>
      </c>
      <c r="D27">
        <f>Scorecard!D199</f>
        <v/>
      </c>
      <c r="E27">
        <f>Scorecard!E199</f>
        <v/>
      </c>
      <c r="F27">
        <f>Scorecard!F199</f>
        <v/>
      </c>
      <c r="G27">
        <f>Scorecard!G199</f>
        <v/>
      </c>
      <c r="H27">
        <f>Scorecard!H199</f>
        <v/>
      </c>
      <c r="I27">
        <f>Scorecard!I199</f>
        <v/>
      </c>
      <c r="J27">
        <f>Scorecard!J199</f>
        <v/>
      </c>
      <c r="K27">
        <f>Scorecard!K199</f>
        <v/>
      </c>
      <c r="L27">
        <f>Scorecard!L199</f>
        <v/>
      </c>
    </row>
    <row r="29" ht="18" customHeight="1">
      <c r="A29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M2"/>
    <mergeCell ref="A1:M1"/>
    <mergeCell ref="A29:M29"/>
  </mergeCells>
  <hyperlinks>
    <hyperlink xmlns:r="http://schemas.openxmlformats.org/officeDocument/2006/relationships" ref="A29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42" customWidth="1" min="4" max="4"/>
    <col width="9" customWidth="1" min="5" max="5"/>
    <col width="26" customWidth="1" min="6" max="6"/>
    <col width="30" customWidth="1" min="7" max="7"/>
    <col width="9" customWidth="1" min="8" max="8"/>
    <col width="16" customWidth="1" min="9" max="9"/>
    <col width="18" customWidth="1" min="10" max="10"/>
    <col width="3" customWidth="1" min="11" max="11"/>
    <col width="11" customWidth="1" min="12" max="12"/>
    <col width="6" customWidth="1" min="13" max="13"/>
  </cols>
  <sheetData>
    <row r="1" ht="28" customHeight="1">
      <c r="A1" s="1" t="inlineStr">
        <is>
          <t>Content Score - Detail View</t>
        </is>
      </c>
    </row>
    <row r="2">
      <c r="A2" s="2" t="inlineStr">
        <is>
          <t>Live-linked view of Scorecard rows 201-223. Edit scores on 'Scorecard'; this sheet mirrors, it does not recompute.</t>
        </is>
      </c>
    </row>
    <row r="4">
      <c r="A4" s="7" t="inlineStr">
        <is>
          <t>Category</t>
        </is>
      </c>
      <c r="B4" s="7" t="inlineStr">
        <is>
          <t>Sub-audit</t>
        </is>
      </c>
      <c r="C4" s="7" t="inlineStr">
        <is>
          <t>Leaf ID</t>
        </is>
      </c>
      <c r="D4" s="7" t="inlineStr">
        <is>
          <t>Description</t>
        </is>
      </c>
      <c r="E4" s="7" t="inlineStr">
        <is>
          <t>Score (0-6)</t>
        </is>
      </c>
      <c r="F4" s="7" t="inlineStr">
        <is>
          <t>Evidence pointer</t>
        </is>
      </c>
      <c r="G4" s="7" t="inlineStr">
        <is>
          <t>Justification</t>
        </is>
      </c>
      <c r="H4" s="7" t="inlineStr">
        <is>
          <t>Weight</t>
        </is>
      </c>
      <c r="I4" s="7" t="inlineStr">
        <is>
          <t>Included?</t>
        </is>
      </c>
      <c r="J4" s="7" t="inlineStr">
        <is>
          <t>Row type</t>
        </is>
      </c>
      <c r="K4" s="7" t="inlineStr"/>
      <c r="L4" s="7" t="inlineStr">
        <is>
          <t>Rollup %</t>
        </is>
      </c>
      <c r="M4" s="7" t="inlineStr"/>
    </row>
    <row r="5">
      <c r="A5">
        <f>Scorecard!A201</f>
        <v/>
      </c>
      <c r="B5">
        <f>Scorecard!B201</f>
        <v/>
      </c>
      <c r="C5">
        <f>Scorecard!C201</f>
        <v/>
      </c>
      <c r="D5">
        <f>Scorecard!D201</f>
        <v/>
      </c>
      <c r="E5">
        <f>Scorecard!E201</f>
        <v/>
      </c>
      <c r="F5">
        <f>Scorecard!F201</f>
        <v/>
      </c>
      <c r="G5">
        <f>Scorecard!G201</f>
        <v/>
      </c>
      <c r="H5">
        <f>Scorecard!H201</f>
        <v/>
      </c>
      <c r="I5">
        <f>Scorecard!I201</f>
        <v/>
      </c>
      <c r="J5">
        <f>Scorecard!J201</f>
        <v/>
      </c>
      <c r="K5">
        <f>Scorecard!K201</f>
        <v/>
      </c>
      <c r="L5">
        <f>Scorecard!L201</f>
        <v/>
      </c>
    </row>
    <row r="6">
      <c r="A6">
        <f>Scorecard!A202</f>
        <v/>
      </c>
      <c r="B6">
        <f>Scorecard!B202</f>
        <v/>
      </c>
      <c r="C6">
        <f>Scorecard!C202</f>
        <v/>
      </c>
      <c r="D6">
        <f>Scorecard!D202</f>
        <v/>
      </c>
      <c r="E6">
        <f>Scorecard!E202</f>
        <v/>
      </c>
      <c r="F6">
        <f>Scorecard!F202</f>
        <v/>
      </c>
      <c r="G6">
        <f>Scorecard!G202</f>
        <v/>
      </c>
      <c r="H6">
        <f>Scorecard!H202</f>
        <v/>
      </c>
      <c r="I6">
        <f>Scorecard!I202</f>
        <v/>
      </c>
      <c r="J6">
        <f>Scorecard!J202</f>
        <v/>
      </c>
      <c r="K6">
        <f>Scorecard!K202</f>
        <v/>
      </c>
      <c r="L6">
        <f>Scorecard!L202</f>
        <v/>
      </c>
    </row>
    <row r="7">
      <c r="A7">
        <f>Scorecard!A203</f>
        <v/>
      </c>
      <c r="B7">
        <f>Scorecard!B203</f>
        <v/>
      </c>
      <c r="C7">
        <f>Scorecard!C203</f>
        <v/>
      </c>
      <c r="D7">
        <f>Scorecard!D203</f>
        <v/>
      </c>
      <c r="E7">
        <f>Scorecard!E203</f>
        <v/>
      </c>
      <c r="F7">
        <f>Scorecard!F203</f>
        <v/>
      </c>
      <c r="G7">
        <f>Scorecard!G203</f>
        <v/>
      </c>
      <c r="H7">
        <f>Scorecard!H203</f>
        <v/>
      </c>
      <c r="I7">
        <f>Scorecard!I203</f>
        <v/>
      </c>
      <c r="J7">
        <f>Scorecard!J203</f>
        <v/>
      </c>
      <c r="K7">
        <f>Scorecard!K203</f>
        <v/>
      </c>
      <c r="L7">
        <f>Scorecard!L203</f>
        <v/>
      </c>
    </row>
    <row r="8">
      <c r="A8">
        <f>Scorecard!A204</f>
        <v/>
      </c>
      <c r="B8">
        <f>Scorecard!B204</f>
        <v/>
      </c>
      <c r="C8">
        <f>Scorecard!C204</f>
        <v/>
      </c>
      <c r="D8">
        <f>Scorecard!D204</f>
        <v/>
      </c>
      <c r="E8">
        <f>Scorecard!E204</f>
        <v/>
      </c>
      <c r="F8">
        <f>Scorecard!F204</f>
        <v/>
      </c>
      <c r="G8">
        <f>Scorecard!G204</f>
        <v/>
      </c>
      <c r="H8">
        <f>Scorecard!H204</f>
        <v/>
      </c>
      <c r="I8">
        <f>Scorecard!I204</f>
        <v/>
      </c>
      <c r="J8">
        <f>Scorecard!J204</f>
        <v/>
      </c>
      <c r="K8">
        <f>Scorecard!K204</f>
        <v/>
      </c>
      <c r="L8">
        <f>Scorecard!L204</f>
        <v/>
      </c>
    </row>
    <row r="9">
      <c r="A9">
        <f>Scorecard!A205</f>
        <v/>
      </c>
      <c r="B9">
        <f>Scorecard!B205</f>
        <v/>
      </c>
      <c r="C9">
        <f>Scorecard!C205</f>
        <v/>
      </c>
      <c r="D9">
        <f>Scorecard!D205</f>
        <v/>
      </c>
      <c r="E9">
        <f>Scorecard!E205</f>
        <v/>
      </c>
      <c r="F9">
        <f>Scorecard!F205</f>
        <v/>
      </c>
      <c r="G9">
        <f>Scorecard!G205</f>
        <v/>
      </c>
      <c r="H9">
        <f>Scorecard!H205</f>
        <v/>
      </c>
      <c r="I9">
        <f>Scorecard!I205</f>
        <v/>
      </c>
      <c r="J9">
        <f>Scorecard!J205</f>
        <v/>
      </c>
      <c r="K9">
        <f>Scorecard!K205</f>
        <v/>
      </c>
      <c r="L9">
        <f>Scorecard!L205</f>
        <v/>
      </c>
    </row>
    <row r="10">
      <c r="A10">
        <f>Scorecard!A206</f>
        <v/>
      </c>
      <c r="B10">
        <f>Scorecard!B206</f>
        <v/>
      </c>
      <c r="C10">
        <f>Scorecard!C206</f>
        <v/>
      </c>
      <c r="D10">
        <f>Scorecard!D206</f>
        <v/>
      </c>
      <c r="E10">
        <f>Scorecard!E206</f>
        <v/>
      </c>
      <c r="F10">
        <f>Scorecard!F206</f>
        <v/>
      </c>
      <c r="G10">
        <f>Scorecard!G206</f>
        <v/>
      </c>
      <c r="H10">
        <f>Scorecard!H206</f>
        <v/>
      </c>
      <c r="I10">
        <f>Scorecard!I206</f>
        <v/>
      </c>
      <c r="J10">
        <f>Scorecard!J206</f>
        <v/>
      </c>
      <c r="K10">
        <f>Scorecard!K206</f>
        <v/>
      </c>
      <c r="L10">
        <f>Scorecard!L206</f>
        <v/>
      </c>
    </row>
    <row r="11">
      <c r="A11">
        <f>Scorecard!A207</f>
        <v/>
      </c>
      <c r="B11">
        <f>Scorecard!B207</f>
        <v/>
      </c>
      <c r="C11">
        <f>Scorecard!C207</f>
        <v/>
      </c>
      <c r="D11">
        <f>Scorecard!D207</f>
        <v/>
      </c>
      <c r="E11">
        <f>Scorecard!E207</f>
        <v/>
      </c>
      <c r="F11">
        <f>Scorecard!F207</f>
        <v/>
      </c>
      <c r="G11">
        <f>Scorecard!G207</f>
        <v/>
      </c>
      <c r="H11">
        <f>Scorecard!H207</f>
        <v/>
      </c>
      <c r="I11">
        <f>Scorecard!I207</f>
        <v/>
      </c>
      <c r="J11">
        <f>Scorecard!J207</f>
        <v/>
      </c>
      <c r="K11">
        <f>Scorecard!K207</f>
        <v/>
      </c>
      <c r="L11">
        <f>Scorecard!L207</f>
        <v/>
      </c>
    </row>
    <row r="12">
      <c r="A12">
        <f>Scorecard!A208</f>
        <v/>
      </c>
      <c r="B12">
        <f>Scorecard!B208</f>
        <v/>
      </c>
      <c r="C12">
        <f>Scorecard!C208</f>
        <v/>
      </c>
      <c r="D12">
        <f>Scorecard!D208</f>
        <v/>
      </c>
      <c r="E12">
        <f>Scorecard!E208</f>
        <v/>
      </c>
      <c r="F12">
        <f>Scorecard!F208</f>
        <v/>
      </c>
      <c r="G12">
        <f>Scorecard!G208</f>
        <v/>
      </c>
      <c r="H12">
        <f>Scorecard!H208</f>
        <v/>
      </c>
      <c r="I12">
        <f>Scorecard!I208</f>
        <v/>
      </c>
      <c r="J12">
        <f>Scorecard!J208</f>
        <v/>
      </c>
      <c r="K12">
        <f>Scorecard!K208</f>
        <v/>
      </c>
      <c r="L12">
        <f>Scorecard!L208</f>
        <v/>
      </c>
    </row>
    <row r="13">
      <c r="A13">
        <f>Scorecard!A209</f>
        <v/>
      </c>
      <c r="B13">
        <f>Scorecard!B209</f>
        <v/>
      </c>
      <c r="C13">
        <f>Scorecard!C209</f>
        <v/>
      </c>
      <c r="D13">
        <f>Scorecard!D209</f>
        <v/>
      </c>
      <c r="E13">
        <f>Scorecard!E209</f>
        <v/>
      </c>
      <c r="F13">
        <f>Scorecard!F209</f>
        <v/>
      </c>
      <c r="G13">
        <f>Scorecard!G209</f>
        <v/>
      </c>
      <c r="H13">
        <f>Scorecard!H209</f>
        <v/>
      </c>
      <c r="I13">
        <f>Scorecard!I209</f>
        <v/>
      </c>
      <c r="J13">
        <f>Scorecard!J209</f>
        <v/>
      </c>
      <c r="K13">
        <f>Scorecard!K209</f>
        <v/>
      </c>
      <c r="L13">
        <f>Scorecard!L209</f>
        <v/>
      </c>
    </row>
    <row r="14">
      <c r="A14">
        <f>Scorecard!A210</f>
        <v/>
      </c>
      <c r="B14">
        <f>Scorecard!B210</f>
        <v/>
      </c>
      <c r="C14">
        <f>Scorecard!C210</f>
        <v/>
      </c>
      <c r="D14">
        <f>Scorecard!D210</f>
        <v/>
      </c>
      <c r="E14">
        <f>Scorecard!E210</f>
        <v/>
      </c>
      <c r="F14">
        <f>Scorecard!F210</f>
        <v/>
      </c>
      <c r="G14">
        <f>Scorecard!G210</f>
        <v/>
      </c>
      <c r="H14">
        <f>Scorecard!H210</f>
        <v/>
      </c>
      <c r="I14">
        <f>Scorecard!I210</f>
        <v/>
      </c>
      <c r="J14">
        <f>Scorecard!J210</f>
        <v/>
      </c>
      <c r="K14">
        <f>Scorecard!K210</f>
        <v/>
      </c>
      <c r="L14">
        <f>Scorecard!L210</f>
        <v/>
      </c>
    </row>
    <row r="15">
      <c r="A15">
        <f>Scorecard!A211</f>
        <v/>
      </c>
      <c r="B15">
        <f>Scorecard!B211</f>
        <v/>
      </c>
      <c r="C15">
        <f>Scorecard!C211</f>
        <v/>
      </c>
      <c r="D15">
        <f>Scorecard!D211</f>
        <v/>
      </c>
      <c r="E15">
        <f>Scorecard!E211</f>
        <v/>
      </c>
      <c r="F15">
        <f>Scorecard!F211</f>
        <v/>
      </c>
      <c r="G15">
        <f>Scorecard!G211</f>
        <v/>
      </c>
      <c r="H15">
        <f>Scorecard!H211</f>
        <v/>
      </c>
      <c r="I15">
        <f>Scorecard!I211</f>
        <v/>
      </c>
      <c r="J15">
        <f>Scorecard!J211</f>
        <v/>
      </c>
      <c r="K15">
        <f>Scorecard!K211</f>
        <v/>
      </c>
      <c r="L15">
        <f>Scorecard!L211</f>
        <v/>
      </c>
    </row>
    <row r="16">
      <c r="A16">
        <f>Scorecard!A212</f>
        <v/>
      </c>
      <c r="B16">
        <f>Scorecard!B212</f>
        <v/>
      </c>
      <c r="C16">
        <f>Scorecard!C212</f>
        <v/>
      </c>
      <c r="D16">
        <f>Scorecard!D212</f>
        <v/>
      </c>
      <c r="E16">
        <f>Scorecard!E212</f>
        <v/>
      </c>
      <c r="F16">
        <f>Scorecard!F212</f>
        <v/>
      </c>
      <c r="G16">
        <f>Scorecard!G212</f>
        <v/>
      </c>
      <c r="H16">
        <f>Scorecard!H212</f>
        <v/>
      </c>
      <c r="I16">
        <f>Scorecard!I212</f>
        <v/>
      </c>
      <c r="J16">
        <f>Scorecard!J212</f>
        <v/>
      </c>
      <c r="K16">
        <f>Scorecard!K212</f>
        <v/>
      </c>
      <c r="L16">
        <f>Scorecard!L212</f>
        <v/>
      </c>
    </row>
    <row r="17">
      <c r="A17">
        <f>Scorecard!A213</f>
        <v/>
      </c>
      <c r="B17">
        <f>Scorecard!B213</f>
        <v/>
      </c>
      <c r="C17">
        <f>Scorecard!C213</f>
        <v/>
      </c>
      <c r="D17">
        <f>Scorecard!D213</f>
        <v/>
      </c>
      <c r="E17">
        <f>Scorecard!E213</f>
        <v/>
      </c>
      <c r="F17">
        <f>Scorecard!F213</f>
        <v/>
      </c>
      <c r="G17">
        <f>Scorecard!G213</f>
        <v/>
      </c>
      <c r="H17">
        <f>Scorecard!H213</f>
        <v/>
      </c>
      <c r="I17">
        <f>Scorecard!I213</f>
        <v/>
      </c>
      <c r="J17">
        <f>Scorecard!J213</f>
        <v/>
      </c>
      <c r="K17">
        <f>Scorecard!K213</f>
        <v/>
      </c>
      <c r="L17">
        <f>Scorecard!L213</f>
        <v/>
      </c>
    </row>
    <row r="18">
      <c r="A18">
        <f>Scorecard!A214</f>
        <v/>
      </c>
      <c r="B18">
        <f>Scorecard!B214</f>
        <v/>
      </c>
      <c r="C18">
        <f>Scorecard!C214</f>
        <v/>
      </c>
      <c r="D18">
        <f>Scorecard!D214</f>
        <v/>
      </c>
      <c r="E18">
        <f>Scorecard!E214</f>
        <v/>
      </c>
      <c r="F18">
        <f>Scorecard!F214</f>
        <v/>
      </c>
      <c r="G18">
        <f>Scorecard!G214</f>
        <v/>
      </c>
      <c r="H18">
        <f>Scorecard!H214</f>
        <v/>
      </c>
      <c r="I18">
        <f>Scorecard!I214</f>
        <v/>
      </c>
      <c r="J18">
        <f>Scorecard!J214</f>
        <v/>
      </c>
      <c r="K18">
        <f>Scorecard!K214</f>
        <v/>
      </c>
      <c r="L18">
        <f>Scorecard!L214</f>
        <v/>
      </c>
    </row>
    <row r="19">
      <c r="A19">
        <f>Scorecard!A215</f>
        <v/>
      </c>
      <c r="B19">
        <f>Scorecard!B215</f>
        <v/>
      </c>
      <c r="C19">
        <f>Scorecard!C215</f>
        <v/>
      </c>
      <c r="D19">
        <f>Scorecard!D215</f>
        <v/>
      </c>
      <c r="E19">
        <f>Scorecard!E215</f>
        <v/>
      </c>
      <c r="F19">
        <f>Scorecard!F215</f>
        <v/>
      </c>
      <c r="G19">
        <f>Scorecard!G215</f>
        <v/>
      </c>
      <c r="H19">
        <f>Scorecard!H215</f>
        <v/>
      </c>
      <c r="I19">
        <f>Scorecard!I215</f>
        <v/>
      </c>
      <c r="J19">
        <f>Scorecard!J215</f>
        <v/>
      </c>
      <c r="K19">
        <f>Scorecard!K215</f>
        <v/>
      </c>
      <c r="L19">
        <f>Scorecard!L215</f>
        <v/>
      </c>
    </row>
    <row r="20">
      <c r="A20">
        <f>Scorecard!A216</f>
        <v/>
      </c>
      <c r="B20">
        <f>Scorecard!B216</f>
        <v/>
      </c>
      <c r="C20">
        <f>Scorecard!C216</f>
        <v/>
      </c>
      <c r="D20">
        <f>Scorecard!D216</f>
        <v/>
      </c>
      <c r="E20">
        <f>Scorecard!E216</f>
        <v/>
      </c>
      <c r="F20">
        <f>Scorecard!F216</f>
        <v/>
      </c>
      <c r="G20">
        <f>Scorecard!G216</f>
        <v/>
      </c>
      <c r="H20">
        <f>Scorecard!H216</f>
        <v/>
      </c>
      <c r="I20">
        <f>Scorecard!I216</f>
        <v/>
      </c>
      <c r="J20">
        <f>Scorecard!J216</f>
        <v/>
      </c>
      <c r="K20">
        <f>Scorecard!K216</f>
        <v/>
      </c>
      <c r="L20">
        <f>Scorecard!L216</f>
        <v/>
      </c>
    </row>
    <row r="21">
      <c r="A21">
        <f>Scorecard!A217</f>
        <v/>
      </c>
      <c r="B21">
        <f>Scorecard!B217</f>
        <v/>
      </c>
      <c r="C21">
        <f>Scorecard!C217</f>
        <v/>
      </c>
      <c r="D21">
        <f>Scorecard!D217</f>
        <v/>
      </c>
      <c r="E21">
        <f>Scorecard!E217</f>
        <v/>
      </c>
      <c r="F21">
        <f>Scorecard!F217</f>
        <v/>
      </c>
      <c r="G21">
        <f>Scorecard!G217</f>
        <v/>
      </c>
      <c r="H21">
        <f>Scorecard!H217</f>
        <v/>
      </c>
      <c r="I21">
        <f>Scorecard!I217</f>
        <v/>
      </c>
      <c r="J21">
        <f>Scorecard!J217</f>
        <v/>
      </c>
      <c r="K21">
        <f>Scorecard!K217</f>
        <v/>
      </c>
      <c r="L21">
        <f>Scorecard!L217</f>
        <v/>
      </c>
    </row>
    <row r="22">
      <c r="A22">
        <f>Scorecard!A218</f>
        <v/>
      </c>
      <c r="B22">
        <f>Scorecard!B218</f>
        <v/>
      </c>
      <c r="C22">
        <f>Scorecard!C218</f>
        <v/>
      </c>
      <c r="D22">
        <f>Scorecard!D218</f>
        <v/>
      </c>
      <c r="E22">
        <f>Scorecard!E218</f>
        <v/>
      </c>
      <c r="F22">
        <f>Scorecard!F218</f>
        <v/>
      </c>
      <c r="G22">
        <f>Scorecard!G218</f>
        <v/>
      </c>
      <c r="H22">
        <f>Scorecard!H218</f>
        <v/>
      </c>
      <c r="I22">
        <f>Scorecard!I218</f>
        <v/>
      </c>
      <c r="J22">
        <f>Scorecard!J218</f>
        <v/>
      </c>
      <c r="K22">
        <f>Scorecard!K218</f>
        <v/>
      </c>
      <c r="L22">
        <f>Scorecard!L218</f>
        <v/>
      </c>
    </row>
    <row r="23">
      <c r="A23">
        <f>Scorecard!A219</f>
        <v/>
      </c>
      <c r="B23">
        <f>Scorecard!B219</f>
        <v/>
      </c>
      <c r="C23">
        <f>Scorecard!C219</f>
        <v/>
      </c>
      <c r="D23">
        <f>Scorecard!D219</f>
        <v/>
      </c>
      <c r="E23">
        <f>Scorecard!E219</f>
        <v/>
      </c>
      <c r="F23">
        <f>Scorecard!F219</f>
        <v/>
      </c>
      <c r="G23">
        <f>Scorecard!G219</f>
        <v/>
      </c>
      <c r="H23">
        <f>Scorecard!H219</f>
        <v/>
      </c>
      <c r="I23">
        <f>Scorecard!I219</f>
        <v/>
      </c>
      <c r="J23">
        <f>Scorecard!J219</f>
        <v/>
      </c>
      <c r="K23">
        <f>Scorecard!K219</f>
        <v/>
      </c>
      <c r="L23">
        <f>Scorecard!L219</f>
        <v/>
      </c>
    </row>
    <row r="24">
      <c r="A24">
        <f>Scorecard!A220</f>
        <v/>
      </c>
      <c r="B24">
        <f>Scorecard!B220</f>
        <v/>
      </c>
      <c r="C24">
        <f>Scorecard!C220</f>
        <v/>
      </c>
      <c r="D24">
        <f>Scorecard!D220</f>
        <v/>
      </c>
      <c r="E24">
        <f>Scorecard!E220</f>
        <v/>
      </c>
      <c r="F24">
        <f>Scorecard!F220</f>
        <v/>
      </c>
      <c r="G24">
        <f>Scorecard!G220</f>
        <v/>
      </c>
      <c r="H24">
        <f>Scorecard!H220</f>
        <v/>
      </c>
      <c r="I24">
        <f>Scorecard!I220</f>
        <v/>
      </c>
      <c r="J24">
        <f>Scorecard!J220</f>
        <v/>
      </c>
      <c r="K24">
        <f>Scorecard!K220</f>
        <v/>
      </c>
      <c r="L24">
        <f>Scorecard!L220</f>
        <v/>
      </c>
    </row>
    <row r="25">
      <c r="A25">
        <f>Scorecard!A221</f>
        <v/>
      </c>
      <c r="B25">
        <f>Scorecard!B221</f>
        <v/>
      </c>
      <c r="C25">
        <f>Scorecard!C221</f>
        <v/>
      </c>
      <c r="D25">
        <f>Scorecard!D221</f>
        <v/>
      </c>
      <c r="E25">
        <f>Scorecard!E221</f>
        <v/>
      </c>
      <c r="F25">
        <f>Scorecard!F221</f>
        <v/>
      </c>
      <c r="G25">
        <f>Scorecard!G221</f>
        <v/>
      </c>
      <c r="H25">
        <f>Scorecard!H221</f>
        <v/>
      </c>
      <c r="I25">
        <f>Scorecard!I221</f>
        <v/>
      </c>
      <c r="J25">
        <f>Scorecard!J221</f>
        <v/>
      </c>
      <c r="K25">
        <f>Scorecard!K221</f>
        <v/>
      </c>
      <c r="L25">
        <f>Scorecard!L221</f>
        <v/>
      </c>
    </row>
    <row r="26">
      <c r="A26">
        <f>Scorecard!A222</f>
        <v/>
      </c>
      <c r="B26">
        <f>Scorecard!B222</f>
        <v/>
      </c>
      <c r="C26">
        <f>Scorecard!C222</f>
        <v/>
      </c>
      <c r="D26">
        <f>Scorecard!D222</f>
        <v/>
      </c>
      <c r="E26">
        <f>Scorecard!E222</f>
        <v/>
      </c>
      <c r="F26">
        <f>Scorecard!F222</f>
        <v/>
      </c>
      <c r="G26">
        <f>Scorecard!G222</f>
        <v/>
      </c>
      <c r="H26">
        <f>Scorecard!H222</f>
        <v/>
      </c>
      <c r="I26">
        <f>Scorecard!I222</f>
        <v/>
      </c>
      <c r="J26">
        <f>Scorecard!J222</f>
        <v/>
      </c>
      <c r="K26">
        <f>Scorecard!K222</f>
        <v/>
      </c>
      <c r="L26">
        <f>Scorecard!L222</f>
        <v/>
      </c>
    </row>
    <row r="27">
      <c r="A27">
        <f>Scorecard!A223</f>
        <v/>
      </c>
      <c r="B27">
        <f>Scorecard!B223</f>
        <v/>
      </c>
      <c r="C27">
        <f>Scorecard!C223</f>
        <v/>
      </c>
      <c r="D27">
        <f>Scorecard!D223</f>
        <v/>
      </c>
      <c r="E27">
        <f>Scorecard!E223</f>
        <v/>
      </c>
      <c r="F27">
        <f>Scorecard!F223</f>
        <v/>
      </c>
      <c r="G27">
        <f>Scorecard!G223</f>
        <v/>
      </c>
      <c r="H27">
        <f>Scorecard!H223</f>
        <v/>
      </c>
      <c r="I27">
        <f>Scorecard!I223</f>
        <v/>
      </c>
      <c r="J27">
        <f>Scorecard!J223</f>
        <v/>
      </c>
      <c r="K27">
        <f>Scorecard!K223</f>
        <v/>
      </c>
      <c r="L27">
        <f>Scorecard!L223</f>
        <v/>
      </c>
    </row>
    <row r="29" ht="18" customHeight="1">
      <c r="A29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M2"/>
    <mergeCell ref="A1:M1"/>
    <mergeCell ref="A29:M29"/>
  </mergeCells>
  <hyperlinks>
    <hyperlink xmlns:r="http://schemas.openxmlformats.org/officeDocument/2006/relationships" ref="A29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24" customWidth="1" min="4" max="4"/>
    <col width="30" customWidth="1" min="5" max="5"/>
    <col width="30" customWidth="1" min="6" max="6"/>
    <col width="40" customWidth="1" min="7" max="7"/>
    <col width="14" customWidth="1" min="8" max="8"/>
    <col width="12" customWidth="1" min="9" max="9"/>
  </cols>
  <sheetData>
    <row r="1" ht="28" customHeight="1">
      <c r="A1" s="1" t="inlineStr">
        <is>
          <t>Findings Register</t>
        </is>
      </c>
    </row>
    <row r="2">
      <c r="A2" s="2" t="inlineStr">
        <is>
          <t>Every finding, one row each. Populated by audit-scoring-worker-bee from upstream Bees' leaf findings.</t>
        </is>
      </c>
    </row>
    <row r="4">
      <c r="A4" s="7" t="inlineStr">
        <is>
          <t>Finding ID</t>
        </is>
      </c>
      <c r="B4" s="7" t="inlineStr">
        <is>
          <t>Severity</t>
        </is>
      </c>
      <c r="C4" s="7" t="inlineStr">
        <is>
          <t>Category</t>
        </is>
      </c>
      <c r="D4" s="7" t="inlineStr">
        <is>
          <t>Sub-audit</t>
        </is>
      </c>
      <c r="E4" s="7" t="inlineStr">
        <is>
          <t>Page/URL</t>
        </is>
      </c>
      <c r="F4" s="7" t="inlineStr">
        <is>
          <t>Evidence</t>
        </is>
      </c>
      <c r="G4" s="7" t="inlineStr">
        <is>
          <t>Remediation</t>
        </is>
      </c>
      <c r="H4" s="7" t="inlineStr">
        <is>
          <t>Effort (hrs band)</t>
        </is>
      </c>
      <c r="I4" s="7" t="inlineStr">
        <is>
          <t>Status</t>
        </is>
      </c>
    </row>
    <row r="5">
      <c r="A5" s="8" t="inlineStr">
        <is>
          <t>SEC-HEADERS-01</t>
        </is>
      </c>
      <c r="B5" s="8" t="inlineStr">
        <is>
          <t>Critical</t>
        </is>
      </c>
      <c r="C5" s="8" t="inlineStr">
        <is>
          <t>Security</t>
        </is>
      </c>
      <c r="D5" s="8" t="inlineStr">
        <is>
          <t>Headers</t>
        </is>
      </c>
      <c r="E5" s="8" t="inlineStr">
        <is>
          <t>https://example.com/</t>
        </is>
      </c>
      <c r="F5" s="8" t="inlineStr">
        <is>
          <t>example-evidence-pointer.md#L1</t>
        </is>
      </c>
      <c r="G5" s="8" t="inlineStr">
        <is>
          <t>Add Strict-Transport-Security header.</t>
        </is>
      </c>
      <c r="H5" s="8" t="inlineStr">
        <is>
          <t>1-4</t>
        </is>
      </c>
      <c r="I5" s="8" t="inlineStr">
        <is>
          <t>Open</t>
        </is>
      </c>
    </row>
    <row r="8" ht="18" customHeight="1">
      <c r="A8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1:I1"/>
    <mergeCell ref="A8:I8"/>
    <mergeCell ref="A2:I2"/>
  </mergeCells>
  <hyperlinks>
    <hyperlink xmlns:r="http://schemas.openxmlformats.org/officeDocument/2006/relationships" ref="A8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6" customWidth="1" min="3" max="3"/>
    <col width="18" customWidth="1" min="4" max="4"/>
    <col width="40" customWidth="1" min="5" max="5"/>
  </cols>
  <sheetData>
    <row r="1" ht="28" customHeight="1">
      <c r="A1" s="1" t="inlineStr">
        <is>
          <t>Evidence Index</t>
        </is>
      </c>
    </row>
    <row r="2">
      <c r="A2" s="2" t="inlineStr">
        <is>
          <t>Artifact map back to the shared audit workspace (build plan section 3).</t>
        </is>
      </c>
    </row>
    <row r="4">
      <c r="A4" s="7" t="inlineStr">
        <is>
          <t>Evidence ID</t>
        </is>
      </c>
      <c r="B4" s="7" t="inlineStr">
        <is>
          <t>Artifact path</t>
        </is>
      </c>
      <c r="C4" s="7" t="inlineStr">
        <is>
          <t>Produced by</t>
        </is>
      </c>
      <c r="D4" s="7" t="inlineStr">
        <is>
          <t>Captured at</t>
        </is>
      </c>
      <c r="E4" s="7" t="inlineStr">
        <is>
          <t>Description</t>
        </is>
      </c>
    </row>
    <row r="7" ht="18" customHeight="1">
      <c r="A7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E2"/>
    <mergeCell ref="A1:E1"/>
    <mergeCell ref="A7:E7"/>
  </mergeCells>
  <hyperlinks>
    <hyperlink xmlns:r="http://schemas.openxmlformats.org/officeDocument/2006/relationships" ref="A7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0" customWidth="1" min="3" max="3"/>
  </cols>
  <sheetData>
    <row r="1" ht="28" customHeight="1">
      <c r="A1" s="1" t="inlineStr">
        <is>
          <t>Config</t>
        </is>
      </c>
    </row>
    <row r="2">
      <c r="A2" s="2" t="inlineStr">
        <is>
          <t>Named ranges, version stamp, and generation metadata.</t>
        </is>
      </c>
    </row>
    <row r="4">
      <c r="A4" s="3" t="inlineStr">
        <is>
          <t>Template version</t>
        </is>
      </c>
      <c r="B4" t="inlineStr">
        <is>
          <t>1.0.0</t>
        </is>
      </c>
    </row>
    <row r="5">
      <c r="A5" s="3" t="inlineStr">
        <is>
          <t>Generated at</t>
        </is>
      </c>
      <c r="B5" t="inlineStr">
        <is>
          <t>2026-08-18 21:18 UTC</t>
        </is>
      </c>
    </row>
    <row r="6">
      <c r="A6" s="3" t="inlineStr">
        <is>
          <t>Generator script</t>
        </is>
      </c>
      <c r="B6" t="inlineStr">
        <is>
          <t>skills/audit-scoring-stinger/references/scripts/generate-scorecard-xlsx.py</t>
        </is>
      </c>
    </row>
    <row r="8">
      <c r="A8" s="12" t="inlineStr">
        <is>
          <t>Named ranges</t>
        </is>
      </c>
    </row>
    <row r="9">
      <c r="A9" s="7" t="inlineStr">
        <is>
          <t>Name</t>
        </is>
      </c>
      <c r="B9" s="7" t="inlineStr">
        <is>
          <t>Refers to</t>
        </is>
      </c>
    </row>
    <row r="10">
      <c r="A10" s="8" t="inlineStr">
        <is>
          <t>CategoryWeights</t>
        </is>
      </c>
      <c r="B10" s="8" t="inlineStr">
        <is>
          <t>'Rubric'!$C$17:$C$24</t>
        </is>
      </c>
    </row>
    <row r="11">
      <c r="A11" s="8" t="inlineStr">
        <is>
          <t>GradeTable</t>
        </is>
      </c>
      <c r="B11" s="8" t="inlineStr">
        <is>
          <t>'Rubric'!$A$83:$B$92</t>
        </is>
      </c>
    </row>
    <row r="12">
      <c r="A12" s="8" t="inlineStr">
        <is>
          <t>SecurityOverrideCapPct</t>
        </is>
      </c>
      <c r="B12" s="8" t="inlineStr">
        <is>
          <t>'Rubric'!$B$97</t>
        </is>
      </c>
    </row>
    <row r="13">
      <c r="A13" s="8" t="inlineStr">
        <is>
          <t>SecurityOverrideEnabled</t>
        </is>
      </c>
      <c r="B13" s="8" t="inlineStr">
        <is>
          <t>'Rubric'!$B$96</t>
        </is>
      </c>
    </row>
    <row r="14">
      <c r="A14" s="8" t="inlineStr">
        <is>
          <t>SubWt_analytics</t>
        </is>
      </c>
      <c r="B14" s="8" t="inlineStr">
        <is>
          <t>'Rubric'!$C$52:$C$54</t>
        </is>
      </c>
    </row>
    <row r="15">
      <c r="A15" s="8" t="inlineStr">
        <is>
          <t>SubWt_content</t>
        </is>
      </c>
      <c r="B15" s="8" t="inlineStr">
        <is>
          <t>'Rubric'!$C$76:$C$78</t>
        </is>
      </c>
    </row>
    <row r="16">
      <c r="A16" s="8" t="inlineStr">
        <is>
          <t>SubWt_foundational</t>
        </is>
      </c>
      <c r="B16" s="8" t="inlineStr">
        <is>
          <t>'Rubric'!$C$64:$C$66</t>
        </is>
      </c>
    </row>
    <row r="17">
      <c r="A17" s="8" t="inlineStr">
        <is>
          <t>SubWt_mission</t>
        </is>
      </c>
      <c r="B17" s="8" t="inlineStr">
        <is>
          <t>'Rubric'!$C$46:$C$48</t>
        </is>
      </c>
    </row>
    <row r="18">
      <c r="A18" s="8" t="inlineStr">
        <is>
          <t>SubWt_revenue</t>
        </is>
      </c>
      <c r="B18" s="8" t="inlineStr">
        <is>
          <t>'Rubric'!$C$40:$C$42</t>
        </is>
      </c>
    </row>
    <row r="19">
      <c r="A19" s="8" t="inlineStr">
        <is>
          <t>SubWt_search</t>
        </is>
      </c>
      <c r="B19" s="8" t="inlineStr">
        <is>
          <t>'Rubric'!$C$70:$C$72</t>
        </is>
      </c>
    </row>
    <row r="20">
      <c r="A20" s="8" t="inlineStr">
        <is>
          <t>SubWt_security</t>
        </is>
      </c>
      <c r="B20" s="8" t="inlineStr">
        <is>
          <t>'Rubric'!$C$30:$C$36</t>
        </is>
      </c>
    </row>
    <row r="21">
      <c r="A21" s="8" t="inlineStr">
        <is>
          <t>SubWt_technical</t>
        </is>
      </c>
      <c r="B21" s="8" t="inlineStr">
        <is>
          <t>'Rubric'!$C$58:$C$60</t>
        </is>
      </c>
    </row>
    <row r="22">
      <c r="A22" s="8" t="inlineStr">
        <is>
          <t>Wt_analytics</t>
        </is>
      </c>
      <c r="B22" s="8" t="inlineStr">
        <is>
          <t>'Rubric'!$C$20</t>
        </is>
      </c>
    </row>
    <row r="23">
      <c r="A23" s="8" t="inlineStr">
        <is>
          <t>Wt_content</t>
        </is>
      </c>
      <c r="B23" s="8" t="inlineStr">
        <is>
          <t>'Rubric'!$C$24</t>
        </is>
      </c>
    </row>
    <row r="24">
      <c r="A24" s="8" t="inlineStr">
        <is>
          <t>Wt_foundational</t>
        </is>
      </c>
      <c r="B24" s="8" t="inlineStr">
        <is>
          <t>'Rubric'!$C$22</t>
        </is>
      </c>
    </row>
    <row r="25">
      <c r="A25" s="8" t="inlineStr">
        <is>
          <t>Wt_mission</t>
        </is>
      </c>
      <c r="B25" s="8" t="inlineStr">
        <is>
          <t>'Rubric'!$C$19</t>
        </is>
      </c>
    </row>
    <row r="26">
      <c r="A26" s="8" t="inlineStr">
        <is>
          <t>Wt_revenue</t>
        </is>
      </c>
      <c r="B26" s="8" t="inlineStr">
        <is>
          <t>'Rubric'!$C$18</t>
        </is>
      </c>
    </row>
    <row r="27">
      <c r="A27" s="8" t="inlineStr">
        <is>
          <t>Wt_search</t>
        </is>
      </c>
      <c r="B27" s="8" t="inlineStr">
        <is>
          <t>'Rubric'!$C$23</t>
        </is>
      </c>
    </row>
    <row r="28">
      <c r="A28" s="8" t="inlineStr">
        <is>
          <t>Wt_security</t>
        </is>
      </c>
      <c r="B28" s="8" t="inlineStr">
        <is>
          <t>'Rubric'!$C$17</t>
        </is>
      </c>
    </row>
    <row r="29">
      <c r="A29" s="8" t="inlineStr">
        <is>
          <t>Wt_technical</t>
        </is>
      </c>
      <c r="B29" s="8" t="inlineStr">
        <is>
          <t>'Rubric'!$C$21</t>
        </is>
      </c>
    </row>
    <row r="32" ht="18" customHeight="1">
      <c r="A32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1:C1"/>
    <mergeCell ref="A32:C32"/>
    <mergeCell ref="A2:C2"/>
  </mergeCells>
  <hyperlinks>
    <hyperlink xmlns:r="http://schemas.openxmlformats.org/officeDocument/2006/relationships" ref="A3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2026-08-18T21:18:40Z</dcterms:created>
  <dcterms:modified xmlns:dcterms="http://purl.org/dc/terms/" xmlns:xsi="http://www.w3.org/2001/XMLSchema-instance" xsi:type="dcterms:W3CDTF">2026-08-18T21:18:40Z</dcterms:modified>
</cp:coreProperties>
</file>